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929ffed60404674/AI/References/Personal Website/01_Presentation/"/>
    </mc:Choice>
  </mc:AlternateContent>
  <xr:revisionPtr revIDLastSave="0" documentId="14_{63E3DE2C-FBA8-4A85-B01D-74375402A841}" xr6:coauthVersionLast="47" xr6:coauthVersionMax="47" xr10:uidLastSave="{00000000-0000-0000-0000-000000000000}"/>
  <bookViews>
    <workbookView xWindow="-110" yWindow="-110" windowWidth="19420" windowHeight="11500" firstSheet="3" activeTab="7" xr2:uid="{00000000-000D-0000-FFFF-FFFF00000000}"/>
  </bookViews>
  <sheets>
    <sheet name="Cover" sheetId="1" r:id="rId1"/>
    <sheet name="Assumptions" sheetId="2" r:id="rId2"/>
    <sheet name="WBA Financials" sheetId="3" r:id="rId3"/>
    <sheet name="DCF Model" sheetId="4" r:id="rId4"/>
    <sheet name="Comps" sheetId="5" r:id="rId5"/>
    <sheet name="Precedents" sheetId="6" r:id="rId6"/>
    <sheet name="Football Field" sheetId="7" r:id="rId7"/>
    <sheet name="Deal vs. Mode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6" l="1"/>
  <c r="E27" i="6"/>
  <c r="E26" i="6"/>
  <c r="E26" i="5"/>
  <c r="E25" i="5"/>
  <c r="E24" i="5"/>
  <c r="C27" i="4"/>
  <c r="D9" i="8"/>
  <c r="D8" i="8"/>
  <c r="D7" i="8"/>
  <c r="D6" i="8"/>
  <c r="E20" i="7"/>
  <c r="D20" i="7"/>
  <c r="C20" i="7"/>
  <c r="E19" i="7"/>
  <c r="D19" i="7"/>
  <c r="C19" i="7"/>
  <c r="G28" i="6"/>
  <c r="G27" i="6"/>
  <c r="G26" i="6"/>
  <c r="C28" i="6"/>
  <c r="D28" i="6" s="1"/>
  <c r="C27" i="6"/>
  <c r="D27" i="6" s="1"/>
  <c r="C26" i="6"/>
  <c r="D26" i="6" s="1"/>
  <c r="G26" i="5"/>
  <c r="G25" i="5"/>
  <c r="G24" i="5"/>
  <c r="C26" i="5"/>
  <c r="D26" i="5" s="1"/>
  <c r="C25" i="5"/>
  <c r="D25" i="5" s="1"/>
  <c r="C24" i="5"/>
  <c r="D24" i="5" s="1"/>
  <c r="C44" i="4"/>
  <c r="C42" i="4"/>
  <c r="C41" i="4"/>
  <c r="C36" i="4"/>
  <c r="C49" i="4"/>
  <c r="H18" i="4"/>
  <c r="G18" i="4"/>
  <c r="F18" i="4"/>
  <c r="E18" i="4"/>
  <c r="D18" i="4"/>
  <c r="H17" i="4"/>
  <c r="G17" i="4"/>
  <c r="F17" i="4"/>
  <c r="E17" i="4"/>
  <c r="D17" i="4"/>
  <c r="H14" i="4"/>
  <c r="G14" i="4"/>
  <c r="F14" i="4"/>
  <c r="E14" i="4"/>
  <c r="D14" i="4"/>
  <c r="H12" i="4"/>
  <c r="H16" i="4" s="1"/>
  <c r="G12" i="4"/>
  <c r="G16" i="4" s="1"/>
  <c r="F12" i="4"/>
  <c r="F16" i="4" s="1"/>
  <c r="E12" i="4"/>
  <c r="E16" i="4" s="1"/>
  <c r="D12" i="4"/>
  <c r="D16" i="4" s="1"/>
  <c r="H11" i="4"/>
  <c r="G11" i="4"/>
  <c r="F11" i="4"/>
  <c r="E11" i="4"/>
  <c r="D11" i="4"/>
  <c r="H9" i="4"/>
  <c r="G9" i="4"/>
  <c r="F9" i="4"/>
  <c r="E9" i="4"/>
  <c r="D9" i="4"/>
  <c r="D8" i="4" s="1"/>
  <c r="C29" i="4"/>
  <c r="C23" i="4"/>
  <c r="C22" i="4"/>
  <c r="C25" i="4" s="1"/>
  <c r="F20" i="3"/>
  <c r="F21" i="3" s="1"/>
  <c r="E20" i="3"/>
  <c r="E21" i="3" s="1"/>
  <c r="D20" i="3"/>
  <c r="D21" i="3" s="1"/>
  <c r="C20" i="3"/>
  <c r="C21" i="3" s="1"/>
  <c r="F19" i="3"/>
  <c r="E19" i="3"/>
  <c r="D19" i="3"/>
  <c r="C19" i="3"/>
  <c r="F11" i="3"/>
  <c r="E11" i="3"/>
  <c r="D11" i="3"/>
  <c r="C11" i="3"/>
  <c r="F9" i="3"/>
  <c r="E9" i="3"/>
  <c r="D9" i="3"/>
  <c r="F13" i="3"/>
  <c r="F14" i="3" s="1"/>
  <c r="E13" i="3"/>
  <c r="E14" i="3" s="1"/>
  <c r="D13" i="3"/>
  <c r="D14" i="3" s="1"/>
  <c r="C13" i="3"/>
  <c r="C14" i="3" s="1"/>
  <c r="C38" i="2"/>
  <c r="C36" i="2"/>
  <c r="C34" i="2"/>
  <c r="F28" i="6" l="1"/>
  <c r="H28" i="6" s="1"/>
  <c r="E9" i="7" s="1"/>
  <c r="F26" i="5"/>
  <c r="F27" i="6"/>
  <c r="H27" i="6" s="1"/>
  <c r="D9" i="7" s="1"/>
  <c r="E18" i="7" s="1"/>
  <c r="F26" i="6"/>
  <c r="H26" i="6" s="1"/>
  <c r="C9" i="7" s="1"/>
  <c r="C18" i="7" s="1"/>
  <c r="F25" i="5"/>
  <c r="H25" i="5" s="1"/>
  <c r="D8" i="7" s="1"/>
  <c r="E17" i="7" s="1"/>
  <c r="F24" i="5"/>
  <c r="H24" i="5" s="1"/>
  <c r="C8" i="7" s="1"/>
  <c r="C17" i="7" s="1"/>
  <c r="C39" i="2"/>
  <c r="E8" i="4"/>
  <c r="F8" i="4" s="1"/>
  <c r="D10" i="4"/>
  <c r="D13" i="4" s="1"/>
  <c r="D15" i="4" s="1"/>
  <c r="D19" i="4" s="1"/>
  <c r="C30" i="4"/>
  <c r="H26" i="5"/>
  <c r="E8" i="7" s="1"/>
  <c r="D18" i="7" l="1"/>
  <c r="C8" i="8"/>
  <c r="D17" i="7"/>
  <c r="C9" i="8"/>
  <c r="E10" i="4"/>
  <c r="E13" i="4" s="1"/>
  <c r="E15" i="4" s="1"/>
  <c r="E19" i="4" s="1"/>
  <c r="G8" i="4"/>
  <c r="F10" i="4"/>
  <c r="F13" i="4" s="1"/>
  <c r="F15" i="4" s="1"/>
  <c r="F19" i="4" s="1"/>
  <c r="H8" i="4" l="1"/>
  <c r="H10" i="4" s="1"/>
  <c r="G10" i="4"/>
  <c r="G13" i="4" s="1"/>
  <c r="G15" i="4" s="1"/>
  <c r="G19" i="4" s="1"/>
  <c r="H13" i="4" l="1"/>
  <c r="H15" i="4" s="1"/>
  <c r="H19" i="4" s="1"/>
  <c r="E76" i="4" s="1"/>
  <c r="C35" i="4"/>
  <c r="C37" i="4" s="1"/>
  <c r="C38" i="4" s="1"/>
  <c r="G65" i="4" l="1"/>
  <c r="F76" i="4"/>
  <c r="F72" i="4"/>
  <c r="F74" i="4"/>
  <c r="D74" i="4"/>
  <c r="C74" i="4"/>
  <c r="C72" i="4"/>
  <c r="D65" i="4"/>
  <c r="G76" i="4"/>
  <c r="C76" i="4"/>
  <c r="C65" i="4"/>
  <c r="G73" i="4"/>
  <c r="E7" i="7" s="1"/>
  <c r="E75" i="4"/>
  <c r="G66" i="4"/>
  <c r="F63" i="4"/>
  <c r="D64" i="4"/>
  <c r="E74" i="4"/>
  <c r="F77" i="4"/>
  <c r="E64" i="4"/>
  <c r="C73" i="4"/>
  <c r="D73" i="4"/>
  <c r="E63" i="4"/>
  <c r="D75" i="4"/>
  <c r="F65" i="4"/>
  <c r="D72" i="4"/>
  <c r="G77" i="4"/>
  <c r="D77" i="4"/>
  <c r="C61" i="4"/>
  <c r="D63" i="4"/>
  <c r="C77" i="4"/>
  <c r="C7" i="7" s="1"/>
  <c r="G74" i="4"/>
  <c r="D61" i="4"/>
  <c r="E77" i="4"/>
  <c r="C63" i="4"/>
  <c r="F64" i="4"/>
  <c r="D66" i="4"/>
  <c r="E65" i="4"/>
  <c r="C64" i="4"/>
  <c r="E61" i="4"/>
  <c r="D6" i="7" s="1"/>
  <c r="E15" i="7" s="1"/>
  <c r="F75" i="4"/>
  <c r="E66" i="4"/>
  <c r="F62" i="4"/>
  <c r="G61" i="4"/>
  <c r="C75" i="4"/>
  <c r="C66" i="4"/>
  <c r="C6" i="7" s="1"/>
  <c r="G63" i="4"/>
  <c r="D76" i="4"/>
  <c r="F61" i="4"/>
  <c r="E72" i="4"/>
  <c r="D7" i="7" s="1"/>
  <c r="E16" i="7" s="1"/>
  <c r="E62" i="4"/>
  <c r="G75" i="4"/>
  <c r="E73" i="4"/>
  <c r="G64" i="4"/>
  <c r="G62" i="4"/>
  <c r="E6" i="7" s="1"/>
  <c r="F73" i="4"/>
  <c r="G72" i="4"/>
  <c r="D62" i="4"/>
  <c r="C62" i="4"/>
  <c r="C39" i="4"/>
  <c r="C52" i="4" s="1"/>
  <c r="F66" i="4"/>
  <c r="C48" i="4"/>
  <c r="C50" i="4" s="1"/>
  <c r="C51" i="4" s="1"/>
  <c r="C53" i="4" l="1"/>
  <c r="C54" i="4" s="1"/>
  <c r="C55" i="4" s="1"/>
  <c r="C40" i="4"/>
  <c r="C43" i="4" s="1"/>
  <c r="C45" i="4" s="1"/>
  <c r="D16" i="7"/>
  <c r="C16" i="7"/>
  <c r="C7" i="8"/>
  <c r="C15" i="7"/>
  <c r="C6" i="8"/>
  <c r="D15" i="7"/>
</calcChain>
</file>

<file path=xl/sharedStrings.xml><?xml version="1.0" encoding="utf-8"?>
<sst xmlns="http://schemas.openxmlformats.org/spreadsheetml/2006/main" count="360" uniqueCount="286">
  <si>
    <t>WBA / SYCAMORE PARTNERS</t>
  </si>
  <si>
    <t>Independent Valuation Analysis</t>
  </si>
  <si>
    <t>DEAL OVERVIEW</t>
  </si>
  <si>
    <t>Target</t>
  </si>
  <si>
    <t>Walgreens Boots Alliance, Inc. (WBA)</t>
  </si>
  <si>
    <t>Acquirer</t>
  </si>
  <si>
    <t>Sycamore Partners</t>
  </si>
  <si>
    <t>Announcement</t>
  </si>
  <si>
    <t>March 6, 2025</t>
  </si>
  <si>
    <t>Close</t>
  </si>
  <si>
    <t>August 28, 2025</t>
  </si>
  <si>
    <t>Cash Consideration</t>
  </si>
  <si>
    <t>Up to $3.00/share — VillageMD monetization</t>
  </si>
  <si>
    <t>Total Consideration</t>
  </si>
  <si>
    <t>Up to $14.45 per share</t>
  </si>
  <si>
    <t>Total Transaction Value</t>
  </si>
  <si>
    <t>Up to $23.7 billion</t>
  </si>
  <si>
    <t>Reference Price</t>
  </si>
  <si>
    <t>$8.85 (Dec 9, 2024 close)</t>
  </si>
  <si>
    <t>Cash Premium</t>
  </si>
  <si>
    <t>29% to reference price</t>
  </si>
  <si>
    <t>Up to 63% to reference price</t>
  </si>
  <si>
    <t>Financing Condition</t>
  </si>
  <si>
    <t>None — fully committed at signing</t>
  </si>
  <si>
    <t>Post-Close Structure</t>
  </si>
  <si>
    <t>5 standalone entities: Walgreens, Boots, Shields, CareCentrix, VillageMD</t>
  </si>
  <si>
    <t>1 — Cover</t>
  </si>
  <si>
    <t>This page — deal overview and tab navigation guide</t>
  </si>
  <si>
    <t>2 — Assumptions</t>
  </si>
  <si>
    <t>Central input hub — all key model drivers (edit here)</t>
  </si>
  <si>
    <t>3 — WBA Financials</t>
  </si>
  <si>
    <t>Historical income statement &amp; cash flow FY2021–FY2024</t>
  </si>
  <si>
    <t>4 — DCF Model</t>
  </si>
  <si>
    <t>5-year FCF projections, WACC build, terminal value, sensitivity tables</t>
  </si>
  <si>
    <t>5 — Comps</t>
  </si>
  <si>
    <t>Trading comparable companies — peer multiples → implied WBA price</t>
  </si>
  <si>
    <t>6 — Precedents</t>
  </si>
  <si>
    <t>Precedent transaction multiples → implied WBA price range</t>
  </si>
  <si>
    <t>7 — Football Field</t>
  </si>
  <si>
    <t>Summary chart — valuation ranges vs. deal price ($11.45 / $14.45)</t>
  </si>
  <si>
    <t>8 — Deal vs. Model</t>
  </si>
  <si>
    <t>Side-by-side deal price vs. model outputs + analytical conclusion</t>
  </si>
  <si>
    <t>ASSUMPTIONS — Central Model Input Hub</t>
  </si>
  <si>
    <t>FY2025E Revenue Growth</t>
  </si>
  <si>
    <t>FY2026E Revenue Growth</t>
  </si>
  <si>
    <t>FY2027E Revenue Growth</t>
  </si>
  <si>
    <t>FY2028E Revenue Growth</t>
  </si>
  <si>
    <t>FY2029E Revenue Growth</t>
  </si>
  <si>
    <t>FY2025E Adj. EBITDA Margin</t>
  </si>
  <si>
    <t>FY2026E Adj. EBITDA Margin</t>
  </si>
  <si>
    <t>FY2027E Adj. EBITDA Margin</t>
  </si>
  <si>
    <t>FY2028E Adj. EBITDA Margin</t>
  </si>
  <si>
    <t>FY2029E Adj. EBITDA Margin</t>
  </si>
  <si>
    <t>Tax Rate</t>
  </si>
  <si>
    <t>WACC BUILD</t>
  </si>
  <si>
    <t>Risk-Free Rate (10-yr UST, March 2025)</t>
  </si>
  <si>
    <t>Equity Risk Premium (Damodaran 2025)</t>
  </si>
  <si>
    <t>Levered Beta</t>
  </si>
  <si>
    <t>Pre-Tax Cost of Debt</t>
  </si>
  <si>
    <t>After-Tax Cost of Debt</t>
  </si>
  <si>
    <t>WACC</t>
  </si>
  <si>
    <t>TERMINAL VALUE</t>
  </si>
  <si>
    <t>Exit EV/EBITDA Multiple (base case)</t>
  </si>
  <si>
    <t>Comps — Low EV/EBITDA Multiple</t>
  </si>
  <si>
    <t>Comps — Mid EV/EBITDA Multiple</t>
  </si>
  <si>
    <t>Comps — High EV/EBITDA Multiple</t>
  </si>
  <si>
    <t>Precedents — Low EV/EBITDA Multiple</t>
  </si>
  <si>
    <t>Precedents — Mid EV/EBITDA Multiple</t>
  </si>
  <si>
    <t>Precedents — High EV/EBITDA Multiple</t>
  </si>
  <si>
    <t>Metric</t>
  </si>
  <si>
    <t>FY2021A</t>
  </si>
  <si>
    <t>FY2022A</t>
  </si>
  <si>
    <t>FY2023A</t>
  </si>
  <si>
    <t>FY2024A</t>
  </si>
  <si>
    <t>Income Statement</t>
  </si>
  <si>
    <t>—</t>
  </si>
  <si>
    <t>Capital Expenditures &amp; Free Cash Flow</t>
  </si>
  <si>
    <t>KEY TRENDS</t>
  </si>
  <si>
    <t>▪  Revenue grew 11.5% cumulatively FY2021–FY2024, driven by pharmacy script volume; retail front-end remained pressured.</t>
  </si>
  <si>
    <t>▪  Adj. EBITDA declined 30.4% ($5.6B→$3.9B) on pharmacy reimbursement compression and rising SG&amp;A costs.</t>
  </si>
  <si>
    <t>▪  EBITDA margin fell ~160bps from 4.2% to 2.6% — structural deterioration, not a temporary cyclical issue.</t>
  </si>
  <si>
    <t>▪  CapEx fell from $1.7B (FY2022) to $1.1B (FY2024) as management shifted to capital preservation vs. growth investment.</t>
  </si>
  <si>
    <t>FY2025E</t>
  </si>
  <si>
    <t>FY2026E</t>
  </si>
  <si>
    <t>FY2027E</t>
  </si>
  <si>
    <t>FY2028E</t>
  </si>
  <si>
    <t>FY2029E</t>
  </si>
  <si>
    <t xml:space="preserve">  Tax Rate</t>
  </si>
  <si>
    <t>Risk-Free Rate (10-yr UST)</t>
  </si>
  <si>
    <t>Debt Weight</t>
  </si>
  <si>
    <t>Equity Weight</t>
  </si>
  <si>
    <t>TERMINAL VALUE &amp; IMPLIED SHARE PRICE</t>
  </si>
  <si>
    <t>METHOD 1 — EXIT MULTIPLE</t>
  </si>
  <si>
    <t>WACC ↓  / Multiple →</t>
  </si>
  <si>
    <t>5.0x</t>
  </si>
  <si>
    <t>6.0x</t>
  </si>
  <si>
    <t>6.5x</t>
  </si>
  <si>
    <t>7.0x</t>
  </si>
  <si>
    <t>8.0x</t>
  </si>
  <si>
    <t>8%</t>
  </si>
  <si>
    <t>9%</t>
  </si>
  <si>
    <t>10%</t>
  </si>
  <si>
    <t>11%</t>
  </si>
  <si>
    <t>12%</t>
  </si>
  <si>
    <t>WACC ↓  / TGR →</t>
  </si>
  <si>
    <t>0.0%</t>
  </si>
  <si>
    <t>0.5%</t>
  </si>
  <si>
    <t>1.0%</t>
  </si>
  <si>
    <t>1.5%</t>
  </si>
  <si>
    <t>2.0%</t>
  </si>
  <si>
    <t>Company</t>
  </si>
  <si>
    <t>Ticker</t>
  </si>
  <si>
    <t>EV/Revenue</t>
  </si>
  <si>
    <t>EV/EBITDA</t>
  </si>
  <si>
    <t>CVS Health</t>
  </si>
  <si>
    <t>CVS</t>
  </si>
  <si>
    <t>McKesson</t>
  </si>
  <si>
    <t>MCK</t>
  </si>
  <si>
    <t>Cencora</t>
  </si>
  <si>
    <t>COR</t>
  </si>
  <si>
    <t>Cardinal Health</t>
  </si>
  <si>
    <t>CAH</t>
  </si>
  <si>
    <t>Rite Aid*</t>
  </si>
  <si>
    <t>RAD</t>
  </si>
  <si>
    <t>Min (excl. Rite Aid)</t>
  </si>
  <si>
    <t>Median (excl. Rite Aid)</t>
  </si>
  <si>
    <t>Mean (excl. Rite Aid)</t>
  </si>
  <si>
    <t>Max (excl. Rite Aid)</t>
  </si>
  <si>
    <t>Case</t>
  </si>
  <si>
    <t>EV/EBITDA Applied</t>
  </si>
  <si>
    <t>Implied Price ($/sh)</t>
  </si>
  <si>
    <t>PRECEDENT TRANSACTIONS ANALYSIS — Healthcare &amp; Pharmacy Take-Privates</t>
  </si>
  <si>
    <t>Year</t>
  </si>
  <si>
    <t>Sector</t>
  </si>
  <si>
    <t>Envision Healthcare</t>
  </si>
  <si>
    <t>KKR</t>
  </si>
  <si>
    <t>Healthcare Services</t>
  </si>
  <si>
    <t>LifePoint Health</t>
  </si>
  <si>
    <t>Apollo Global</t>
  </si>
  <si>
    <t>Healthcare</t>
  </si>
  <si>
    <t>PharMerica</t>
  </si>
  <si>
    <t>Pharmacy Services</t>
  </si>
  <si>
    <t>Sysco</t>
  </si>
  <si>
    <t>Food Distribution</t>
  </si>
  <si>
    <t>Berkshire Hathaway</t>
  </si>
  <si>
    <t>Optum/UnitedHealth</t>
  </si>
  <si>
    <t>Healthcare IT</t>
  </si>
  <si>
    <t>Magellan Health</t>
  </si>
  <si>
    <t>Centene</t>
  </si>
  <si>
    <t>Methodology</t>
  </si>
  <si>
    <t>Low ($/sh)</t>
  </si>
  <si>
    <t>High ($/sh)</t>
  </si>
  <si>
    <t>Comparable Companies</t>
  </si>
  <si>
    <t>Precedent Transactions</t>
  </si>
  <si>
    <t>Deal Price — Cash Only</t>
  </si>
  <si>
    <t>Methodology (chart labels)</t>
  </si>
  <si>
    <t>Base (offset)</t>
  </si>
  <si>
    <t>Range Width</t>
  </si>
  <si>
    <t>DCF — Exit Multiple</t>
  </si>
  <si>
    <t>DCF — Gordon Growth</t>
  </si>
  <si>
    <t>KEY OBSERVATIONS</t>
  </si>
  <si>
    <t>Sources: Model analysis; WBA 10-K FY2024; FactSet consensus; SEC filings for precedent transactions.</t>
  </si>
  <si>
    <t>Implied Range ($/sh)</t>
  </si>
  <si>
    <t>Assessment</t>
  </si>
  <si>
    <t>Within Range</t>
  </si>
  <si>
    <t>Below Range</t>
  </si>
  <si>
    <t>DEAL STRUCTURE SUMMARY</t>
  </si>
  <si>
    <t>$11.45/share</t>
  </si>
  <si>
    <t>Up to $3.00/share</t>
  </si>
  <si>
    <t>Up to $14.45/sh</t>
  </si>
  <si>
    <t>Implied Deal EV/EBITDA</t>
  </si>
  <si>
    <t>~5.1x (cash) / ~5.8x (total)</t>
  </si>
  <si>
    <t>Control + Restructuring</t>
  </si>
  <si>
    <t>Full certainty of close</t>
  </si>
  <si>
    <t>IMPLIED SHARE PRICE — EXIT MULTIPLE</t>
  </si>
  <si>
    <t>IMPLIED SHARE PRICE — GORDON GROWTH</t>
  </si>
  <si>
    <t>Kenny Manning</t>
  </si>
  <si>
    <t>$11.45 per share</t>
  </si>
  <si>
    <t>US Foods (blocked)</t>
  </si>
  <si>
    <t>DaVita (ref. only)</t>
  </si>
  <si>
    <t>Change Healthcare</t>
  </si>
  <si>
    <t>~6.84% (base)</t>
  </si>
  <si>
    <t>Base Case ($/sh)</t>
  </si>
  <si>
    <t>Base Case</t>
  </si>
  <si>
    <t>WBA HISTORICAL FINANCIALS — FY2021–FY2024  (fiscal year ends Aug 31)</t>
  </si>
  <si>
    <t>All monetary values in $ billions unless otherwise noted.</t>
  </si>
  <si>
    <t>Revenue</t>
  </si>
  <si>
    <t xml:space="preserve">  Revenue Growth (YoY)</t>
  </si>
  <si>
    <t>Adj. EBITDA</t>
  </si>
  <si>
    <t xml:space="preserve">  EBITDA Margin</t>
  </si>
  <si>
    <t>D&amp;A</t>
  </si>
  <si>
    <t>Adj. EBIT</t>
  </si>
  <si>
    <t xml:space="preserve">  EBIT Margin</t>
  </si>
  <si>
    <t>Capital Expenditures</t>
  </si>
  <si>
    <t xml:space="preserve">  CapEx as % of Revenue</t>
  </si>
  <si>
    <t xml:space="preserve">  FCF Margin</t>
  </si>
  <si>
    <t>DCF PROJECTION ASSUMPTIONS</t>
  </si>
  <si>
    <t>FY2025E D&amp;A</t>
  </si>
  <si>
    <t>FY2026E D&amp;A</t>
  </si>
  <si>
    <t>FY2027E D&amp;A</t>
  </si>
  <si>
    <t>FY2028E D&amp;A</t>
  </si>
  <si>
    <t>FY2029E D&amp;A</t>
  </si>
  <si>
    <t>FY2025E CapEx</t>
  </si>
  <si>
    <t>FY2026E CapEx</t>
  </si>
  <si>
    <t>FY2027E CapEx</t>
  </si>
  <si>
    <t>FY2028E CapEx</t>
  </si>
  <si>
    <t>FY2029E CapEx</t>
  </si>
  <si>
    <t>Annual Working Capital Change</t>
  </si>
  <si>
    <t>Cost of Equity</t>
  </si>
  <si>
    <t>Terminal Growth Rate — Gordon Growth (base case)</t>
  </si>
  <si>
    <t>CAPITAL STRUCTURE  (as of deal announcement, March 2025)</t>
  </si>
  <si>
    <t>Shares Outstanding (billions)</t>
  </si>
  <si>
    <t>Net Debt</t>
  </si>
  <si>
    <t>Minority Interests</t>
  </si>
  <si>
    <t>COMPS &amp; PRECEDENTS — Applied Multiple Ranges</t>
  </si>
  <si>
    <t>DISCOUNTED CASH FLOW MODEL — WBA / Sycamore Partners</t>
  </si>
  <si>
    <t>REVENUE &amp; EBITDA PROJECTIONS</t>
  </si>
  <si>
    <t>NOPLAT</t>
  </si>
  <si>
    <t>(+) D&amp;A</t>
  </si>
  <si>
    <t>(−) CapEx</t>
  </si>
  <si>
    <t>(−) Change in Working Capital</t>
  </si>
  <si>
    <t>Unlevered Free Cash Flow</t>
  </si>
  <si>
    <t>Equity Risk Premium</t>
  </si>
  <si>
    <t>FY2029E Adj. EBITDA</t>
  </si>
  <si>
    <t>Terminal Value</t>
  </si>
  <si>
    <t>PV of Terminal Value</t>
  </si>
  <si>
    <t>PV of FCFs</t>
  </si>
  <si>
    <t>Enterprise Value</t>
  </si>
  <si>
    <t>(−) Net Debt</t>
  </si>
  <si>
    <t>(−) Minority Interests</t>
  </si>
  <si>
    <t>Implied Equity Value</t>
  </si>
  <si>
    <t>METHOD 2 — GORDON GROWTH</t>
  </si>
  <si>
    <t>FY2029E Unlevered FCF</t>
  </si>
  <si>
    <t>Terminal Growth Rate (base case)</t>
  </si>
  <si>
    <t>SENSITIVITY ANALYSIS — Implied Share Price ($/share)</t>
  </si>
  <si>
    <t>Table 1: WACC vs. Exit EV/EBITDA Multiple</t>
  </si>
  <si>
    <t>Bold = implied price within ±$1.50 of deal price ($11.45). Edit multiple headers in row 59 to update calculations.</t>
  </si>
  <si>
    <t>Table 2: WACC vs. Terminal Growth Rate (Gordon Growth)</t>
  </si>
  <si>
    <t>Gordon Growth TV is undefined when WACC ≤ TGR. Edit TGR headers in row 70 to update calculations.  Source: Model analysis; WBA 10-K FY2024.</t>
  </si>
  <si>
    <t>COMPARABLE COMPANIES ANALYSIS  (circa March 2025)</t>
  </si>
  <si>
    <t>25th Percentile (excl. Rite Aid)</t>
  </si>
  <si>
    <t>75th Percentile (excl. Rite Aid)</t>
  </si>
  <si>
    <t>* Rite Aid excluded from statistics — in bankruptcy/restructuring; included as a floor reference only.  † Applied low multiple of 5.0x reflects a WBA-specific distress discount below the comp-set floor (CVS at 6.2x).</t>
  </si>
  <si>
    <t>WBA APPLICATION — Implied Share Price from Comps</t>
  </si>
  <si>
    <t>WBA LTM EBITDA: $3.9B  │  Net Debt: $10.1B  │  Minorities: $0.3B  │  Shares: 862M</t>
  </si>
  <si>
    <t>Low  — 5.0x</t>
  </si>
  <si>
    <t>Mid  — 6.5x</t>
  </si>
  <si>
    <t>High — 8.5x</t>
  </si>
  <si>
    <t>Sources: FactSet; public filings. Multiples as of March 2025 deal announcement. Peer set reflects pharmacy retail and distribution sector.</t>
  </si>
  <si>
    <t>LTM Revenue</t>
  </si>
  <si>
    <t>LTM EBITDA</t>
  </si>
  <si>
    <t>Implied EV</t>
  </si>
  <si>
    <t>Less: Net Debt + Minorities</t>
  </si>
  <si>
    <t>Shares (billions)</t>
  </si>
  <si>
    <t>Min (clean set)</t>
  </si>
  <si>
    <t>25th Percentile (clean set)</t>
  </si>
  <si>
    <t>Median (clean set)</t>
  </si>
  <si>
    <t>Mean (clean set)</t>
  </si>
  <si>
    <t>75th Percentile (clean set)</t>
  </si>
  <si>
    <t>Max (clean set)</t>
  </si>
  <si>
    <t>Clean set: Envision, LifePoint, PharMerica, Magellan. Excluded: † not a PE take-private or sector mismatch; ‡ healthcare IT outlier (Change Healthcare, 14.6x) — materially different business model.</t>
  </si>
  <si>
    <t>WBA APPLICATION — Implied Share Price from Precedents</t>
  </si>
  <si>
    <t>WBA LTM EBITDA: $3.9B  │  Net Debt: $10.1B  │  Minorities: $0.3B  │  Shares: 862M  │  Implied Deal Multiple: ~5.1x (cash) / ~5.8x (total)</t>
  </si>
  <si>
    <t>Low  — 5.5x</t>
  </si>
  <si>
    <t>Mid  — 8.0x</t>
  </si>
  <si>
    <t>High — 10.5x</t>
  </si>
  <si>
    <t>The deal was priced at ~5.1x LTM EBITDA (cash only) — well below the clean precedents median of ~8.2x, reflecting WBA's distress profile, PE restructuring discount, and healthcare platform uncertainty.</t>
  </si>
  <si>
    <t>Sources: SEC filings; press releases; public news for each transaction. Figures represent approximate LTM financials at deal announcement.</t>
  </si>
  <si>
    <t>FOOTBALL FIELD — Implied Valuation Range vs. Deal Price</t>
  </si>
  <si>
    <t>Deal Price — Total (incl. DAP)</t>
  </si>
  <si>
    <t>CHART DATA</t>
  </si>
  <si>
    <t>Deal Price (Cash, $11.45)</t>
  </si>
  <si>
    <t>Deal Price (Total, $14.45)</t>
  </si>
  <si>
    <t>▪  DCF — Exit Multiple: Within range ($8.84–$20.97). Base case $17.94/sh at 6.84% WACC / 6.5x exit. Deal at $11.45 is ~36% below base-case intrinsic value, consistent with a PE buyer acquiring at a discount to long-run fair value.</t>
  </si>
  <si>
    <t>▪  Comparable Companies: Within range ($10.56–$26.39). Wide range reflects distress discount applied to peer multiples.</t>
  </si>
  <si>
    <t>▪  Precedent Transactions: Below range ($12.82–$35.44). Deal priced at ~5.1x EV/EBITDA vs. a comparable healthcare take-private median of ~8.2x, reflecting WBA’s distress and restructuring risk.</t>
  </si>
  <si>
    <t>▪  The DAP right (up to $3.00/share) prices VillageMD optionality separately, enabling the $11.45 cash price to reflect core pharmacy value only.</t>
  </si>
  <si>
    <t>DEAL vs. MODEL — WBA / Sycamore Partners</t>
  </si>
  <si>
    <t>Contingent Value Right (DAP)</t>
  </si>
  <si>
    <t>Sycamore’s Thesis</t>
  </si>
  <si>
    <t>Sources: Model analysis; WBA press release March 6, 2025; WBA 10-K FY2024; FactSet consensus; precedent transaction SEC filings.</t>
  </si>
  <si>
    <t>Deal Price ($/sh)</t>
  </si>
  <si>
    <t>Total Premium (incl. DAP)</t>
  </si>
  <si>
    <t>TAB GUIDE</t>
  </si>
  <si>
    <t>Approx. Free Cash Flow*</t>
  </si>
  <si>
    <t>* Approx. FCF = EBITDA − CapEx; excludes taxes and working capital changes. See DCF Model for unlevered FCF definition.  Sources: WBA Annual Reports (10-K) FY2021–FY2024; WBA Earnings Releases.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</si>
</sst>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164" formatCode="#,##0.00&quot;B&quot;"/>
    <numFmt numFmtId="165" formatCode="0.0&quot;x&quot;"/>
    <numFmt numFmtId="166" formatCode="0.000&quot;B&quot;"/>
    <numFmt numFmtId="167" formatCode="#,##0.0&quot;B&quot;"/>
    <numFmt numFmtId="168" formatCode="#,##0.0"/>
    <numFmt numFmtId="169" formatCode="0.0%"/>
    <numFmt numFmtId="170" formatCode="0.000"/>
    <numFmt numFmtId="171" formatCode="\$#,##0.00"/>
    <numFmt numFmtId="172" formatCode="0.00&quot;x&quot;"/>
    <numFmt numFmtId="173" formatCode="0.0"/>
    <numFmt numFmtId="174" formatCode="&quot;$&quot;#,##0.00"/>
    <numFmt numFmtId="175" formatCode="&quot;$&quot;0.00"/>
  </numFmts>
  <fonts count="52" x14ac:knownFonts="1">
    <font>
      <sz val="11"/>
      <color theme="1"/>
      <name val="Calibri"/>
      <family val="2"/>
      <scheme val="minor"/>
    </font>
    <font>
      <b/>
      <sz val="26"/>
      <color rgb="FFFFFFFF"/>
      <name val="Calibri"/>
    </font>
    <font>
      <sz val="16"/>
      <color rgb="FFCCCCCC"/>
      <name val="Calibri"/>
    </font>
    <font>
      <sz val="12"/>
      <color rgb="FFC97A0A"/>
      <name val="Calibri"/>
    </font>
    <font>
      <b/>
      <sz val="12"/>
      <color rgb="FF0D1B2A"/>
      <name val="Calibri"/>
    </font>
    <font>
      <sz val="11"/>
      <color rgb="FF0F172A"/>
      <name val="Calibri"/>
    </font>
    <font>
      <sz val="11"/>
      <color rgb="FF334155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1558B0"/>
      <name val="Calibri"/>
    </font>
    <font>
      <i/>
      <sz val="9"/>
      <color rgb="FF64748B"/>
      <name val="Calibri"/>
    </font>
    <font>
      <sz val="11"/>
      <color rgb="FF166534"/>
      <name val="Calibri"/>
    </font>
    <font>
      <b/>
      <sz val="10"/>
      <color rgb="FFFFFFFF"/>
      <name val="Calibri"/>
    </font>
    <font>
      <i/>
      <sz val="11"/>
      <color rgb="FF334155"/>
      <name val="Calibri"/>
    </font>
    <font>
      <i/>
      <sz val="8"/>
      <color rgb="FF64748B"/>
      <name val="Calibri"/>
    </font>
    <font>
      <b/>
      <sz val="11"/>
      <color rgb="FF0D1B2A"/>
      <name val="Calibri"/>
    </font>
    <font>
      <i/>
      <sz val="11"/>
      <color rgb="FF64748B"/>
      <name val="Calibri"/>
    </font>
    <font>
      <i/>
      <sz val="8"/>
      <color rgb="FF334155"/>
      <name val="Calibri"/>
    </font>
    <font>
      <b/>
      <sz val="11"/>
      <color rgb="FFC97A0A"/>
      <name val="Calibri"/>
    </font>
    <font>
      <sz val="12"/>
      <color theme="4" tint="0.79998168889431442"/>
      <name val="Calibri"/>
      <family val="2"/>
    </font>
    <font>
      <sz val="11"/>
      <color rgb="FF16653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sz val="11"/>
      <color rgb="FF0F172A"/>
      <name val="Calibri"/>
      <family val="2"/>
    </font>
    <font>
      <b/>
      <sz val="12"/>
      <color rgb="FFFFFFFF"/>
      <name val="Calibri"/>
      <family val="2"/>
    </font>
    <font>
      <b/>
      <sz val="12"/>
      <color rgb="FF0D1B2A"/>
      <name val="Calibri"/>
      <family val="2"/>
    </font>
    <font>
      <i/>
      <sz val="9"/>
      <color rgb="FF64748B"/>
      <name val="Calibri"/>
      <family val="2"/>
    </font>
    <font>
      <i/>
      <sz val="9"/>
      <color rgb="FF334155"/>
      <name val="Calibri"/>
      <family val="2"/>
    </font>
    <font>
      <sz val="9"/>
      <color theme="1"/>
      <name val="Calibri"/>
      <family val="2"/>
      <scheme val="minor"/>
    </font>
    <font>
      <sz val="10"/>
      <color rgb="FF334155"/>
      <name val="Calibri"/>
      <family val="2"/>
    </font>
    <font>
      <i/>
      <sz val="10"/>
      <color rgb="FF1E293B"/>
      <name val="Calibri"/>
      <family val="2"/>
    </font>
    <font>
      <i/>
      <sz val="9"/>
      <color rgb="FF94A3B8"/>
      <name val="Calibri"/>
      <family val="2"/>
    </font>
    <font>
      <i/>
      <sz val="9"/>
      <color rgb="FF94A3B8"/>
      <name val="Calibri"/>
      <family val="2"/>
      <scheme val="minor"/>
    </font>
    <font>
      <b/>
      <sz val="10"/>
      <color rgb="FF0F172A"/>
      <name val="Calibri"/>
      <family val="2"/>
    </font>
    <font>
      <sz val="10"/>
      <color rgb="FF0F172A"/>
      <name val="Calibri"/>
      <family val="2"/>
    </font>
    <font>
      <i/>
      <sz val="10"/>
      <color rgb="FF64748B"/>
      <name val="Calibri"/>
      <family val="2"/>
    </font>
    <font>
      <sz val="10"/>
      <color theme="1"/>
      <name val="Calibri"/>
      <family val="2"/>
      <scheme val="minor"/>
    </font>
    <font>
      <sz val="10"/>
      <color rgb="FF1558B0"/>
      <name val="Calibri"/>
      <family val="2"/>
    </font>
    <font>
      <sz val="10"/>
      <color rgb="FF166534"/>
      <name val="Calibri"/>
      <family val="2"/>
    </font>
    <font>
      <b/>
      <sz val="10"/>
      <color rgb="FF1558B0"/>
      <name val="Calibri"/>
      <family val="2"/>
    </font>
    <font>
      <b/>
      <sz val="10"/>
      <color rgb="FF166534"/>
      <name val="Calibri"/>
      <family val="2"/>
    </font>
    <font>
      <b/>
      <sz val="10"/>
      <color rgb="FFC97A0A"/>
      <name val="Calibri"/>
      <family val="2"/>
    </font>
    <font>
      <sz val="10"/>
      <color rgb="FF64748B"/>
      <name val="Calibri"/>
      <family val="2"/>
    </font>
    <font>
      <b/>
      <sz val="10"/>
      <color rgb="FF0D1B2A"/>
      <name val="Calibri"/>
      <family val="2"/>
    </font>
    <font>
      <sz val="10"/>
      <name val="Calibri"/>
      <family val="2"/>
    </font>
    <font>
      <i/>
      <sz val="10"/>
      <color rgb="FF1558B0"/>
      <name val="Calibri"/>
      <family val="2"/>
    </font>
    <font>
      <i/>
      <sz val="10"/>
      <name val="Calibri"/>
      <family val="2"/>
    </font>
    <font>
      <b/>
      <sz val="12"/>
      <color theme="4" tint="0.79998168889431442"/>
      <name val="Calibri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D1B2A"/>
        <bgColor rgb="FF0D1B2A"/>
      </patternFill>
    </fill>
    <fill>
      <patternFill patternType="solid">
        <fgColor rgb="FFF4F6F9"/>
        <bgColor rgb="FFF4F6F9"/>
      </patternFill>
    </fill>
    <fill>
      <patternFill patternType="solid">
        <fgColor rgb="FFFFFFFF"/>
        <bgColor rgb="FFFFFFFF"/>
      </patternFill>
    </fill>
    <fill>
      <patternFill patternType="solid">
        <fgColor rgb="FF1A3350"/>
        <bgColor rgb="FF1A3350"/>
      </patternFill>
    </fill>
    <fill>
      <patternFill patternType="solid">
        <fgColor rgb="FFF8FAFC"/>
        <bgColor rgb="FFF8FAFC"/>
      </patternFill>
    </fill>
    <fill>
      <patternFill patternType="solid">
        <fgColor theme="4" tint="0.79998168889431442"/>
        <bgColor rgb="FFC97A0A"/>
      </patternFill>
    </fill>
    <fill>
      <patternFill patternType="solid">
        <fgColor rgb="FF1A3350"/>
        <bgColor indexed="64"/>
      </patternFill>
    </fill>
    <fill>
      <patternFill patternType="solid">
        <fgColor rgb="FF64748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rgb="FFF4F6F9"/>
      </patternFill>
    </fill>
  </fills>
  <borders count="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medium">
        <color rgb="FF1A3350"/>
      </top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centerContinuous" vertical="center"/>
    </xf>
    <xf numFmtId="0" fontId="0" fillId="7" borderId="0" xfId="0" applyFill="1"/>
    <xf numFmtId="10" fontId="11" fillId="0" borderId="0" xfId="0" applyNumberFormat="1" applyFont="1" applyAlignment="1">
      <alignment horizontal="right" vertical="center"/>
    </xf>
    <xf numFmtId="10" fontId="0" fillId="0" borderId="0" xfId="0" applyNumberFormat="1"/>
    <xf numFmtId="2" fontId="9" fillId="0" borderId="0" xfId="0" applyNumberFormat="1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horizontal="right" vertical="center"/>
    </xf>
    <xf numFmtId="10" fontId="15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2" borderId="5" xfId="0" applyFont="1" applyFill="1" applyBorder="1" applyAlignment="1">
      <alignment horizontal="centerContinuous" vertical="center"/>
    </xf>
    <xf numFmtId="0" fontId="8" fillId="5" borderId="0" xfId="0" applyFont="1" applyFill="1" applyAlignment="1">
      <alignment horizontal="centerContinuous" vertical="center"/>
    </xf>
    <xf numFmtId="10" fontId="2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73" fontId="22" fillId="0" borderId="0" xfId="0" applyNumberFormat="1" applyFont="1" applyAlignment="1">
      <alignment horizontal="center" vertical="center"/>
    </xf>
    <xf numFmtId="173" fontId="20" fillId="0" borderId="0" xfId="0" applyNumberFormat="1" applyFont="1" applyAlignment="1">
      <alignment horizontal="center" vertical="center"/>
    </xf>
    <xf numFmtId="173" fontId="21" fillId="0" borderId="0" xfId="0" applyNumberFormat="1" applyFont="1" applyAlignment="1">
      <alignment horizontal="center" vertical="center"/>
    </xf>
    <xf numFmtId="170" fontId="20" fillId="0" borderId="0" xfId="0" applyNumberFormat="1" applyFont="1" applyAlignment="1">
      <alignment horizontal="center" vertical="center"/>
    </xf>
    <xf numFmtId="174" fontId="21" fillId="0" borderId="0" xfId="0" applyNumberFormat="1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8" fontId="5" fillId="4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7" fillId="3" borderId="2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26" fillId="5" borderId="0" xfId="0" applyFont="1" applyFill="1" applyAlignment="1">
      <alignment horizontal="left" vertical="center"/>
    </xf>
    <xf numFmtId="0" fontId="27" fillId="3" borderId="1" xfId="0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3" borderId="1" xfId="0" applyFont="1" applyFill="1" applyBorder="1" applyAlignment="1">
      <alignment horizontal="left" vertical="center"/>
    </xf>
    <xf numFmtId="0" fontId="29" fillId="3" borderId="5" xfId="0" applyFont="1" applyFill="1" applyBorder="1" applyAlignment="1">
      <alignment horizontal="left" vertical="center"/>
    </xf>
    <xf numFmtId="0" fontId="30" fillId="0" borderId="0" xfId="0" applyFont="1"/>
    <xf numFmtId="0" fontId="18" fillId="4" borderId="0" xfId="0" applyFont="1" applyFill="1" applyAlignment="1">
      <alignment horizontal="center" vertical="center"/>
    </xf>
    <xf numFmtId="0" fontId="31" fillId="10" borderId="1" xfId="0" applyFont="1" applyFill="1" applyBorder="1" applyAlignment="1">
      <alignment vertical="center"/>
    </xf>
    <xf numFmtId="0" fontId="31" fillId="11" borderId="1" xfId="0" applyFont="1" applyFill="1" applyBorder="1" applyAlignment="1">
      <alignment vertical="center"/>
    </xf>
    <xf numFmtId="0" fontId="0" fillId="10" borderId="0" xfId="0" applyFill="1"/>
    <xf numFmtId="0" fontId="33" fillId="10" borderId="0" xfId="0" applyFont="1" applyFill="1" applyAlignment="1">
      <alignment horizontal="left" vertical="center"/>
    </xf>
    <xf numFmtId="0" fontId="34" fillId="10" borderId="0" xfId="0" applyFont="1" applyFill="1"/>
    <xf numFmtId="0" fontId="23" fillId="8" borderId="6" xfId="0" applyFont="1" applyFill="1" applyBorder="1" applyAlignment="1">
      <alignment horizontal="left" vertical="center"/>
    </xf>
    <xf numFmtId="0" fontId="0" fillId="12" borderId="0" xfId="0" applyFill="1"/>
    <xf numFmtId="0" fontId="23" fillId="9" borderId="1" xfId="0" applyFont="1" applyFill="1" applyBorder="1" applyAlignment="1">
      <alignment horizontal="center" vertical="center"/>
    </xf>
    <xf numFmtId="0" fontId="26" fillId="8" borderId="6" xfId="0" applyFont="1" applyFill="1" applyBorder="1" applyAlignment="1">
      <alignment horizontal="left" vertical="center"/>
    </xf>
    <xf numFmtId="0" fontId="35" fillId="3" borderId="1" xfId="0" applyFont="1" applyFill="1" applyBorder="1" applyAlignment="1">
      <alignment horizontal="left" vertical="center"/>
    </xf>
    <xf numFmtId="0" fontId="36" fillId="3" borderId="1" xfId="0" applyFont="1" applyFill="1" applyBorder="1" applyAlignment="1">
      <alignment horizontal="left" vertical="center"/>
    </xf>
    <xf numFmtId="0" fontId="36" fillId="3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left" vertical="center"/>
    </xf>
    <xf numFmtId="0" fontId="37" fillId="3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left" vertical="center"/>
    </xf>
    <xf numFmtId="0" fontId="38" fillId="4" borderId="1" xfId="0" applyFont="1" applyFill="1" applyBorder="1"/>
    <xf numFmtId="0" fontId="35" fillId="6" borderId="1" xfId="0" applyFont="1" applyFill="1" applyBorder="1" applyAlignment="1">
      <alignment horizontal="left" vertical="center"/>
    </xf>
    <xf numFmtId="0" fontId="38" fillId="6" borderId="1" xfId="0" applyFont="1" applyFill="1" applyBorder="1"/>
    <xf numFmtId="10" fontId="39" fillId="4" borderId="1" xfId="0" applyNumberFormat="1" applyFont="1" applyFill="1" applyBorder="1" applyAlignment="1">
      <alignment horizontal="center" vertical="center"/>
    </xf>
    <xf numFmtId="164" fontId="39" fillId="4" borderId="1" xfId="0" applyNumberFormat="1" applyFont="1" applyFill="1" applyBorder="1" applyAlignment="1">
      <alignment horizontal="center" vertical="center"/>
    </xf>
    <xf numFmtId="2" fontId="39" fillId="4" borderId="1" xfId="0" applyNumberFormat="1" applyFont="1" applyFill="1" applyBorder="1" applyAlignment="1">
      <alignment horizontal="center" vertical="center"/>
    </xf>
    <xf numFmtId="10" fontId="36" fillId="4" borderId="1" xfId="0" applyNumberFormat="1" applyFont="1" applyFill="1" applyBorder="1" applyAlignment="1">
      <alignment horizontal="center" vertical="center"/>
    </xf>
    <xf numFmtId="165" fontId="39" fillId="4" borderId="1" xfId="0" applyNumberFormat="1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centerContinuous" vertical="center"/>
    </xf>
    <xf numFmtId="168" fontId="36" fillId="4" borderId="1" xfId="0" applyNumberFormat="1" applyFont="1" applyFill="1" applyBorder="1" applyAlignment="1">
      <alignment horizontal="right" vertical="center"/>
    </xf>
    <xf numFmtId="8" fontId="36" fillId="4" borderId="1" xfId="0" applyNumberFormat="1" applyFont="1" applyFill="1" applyBorder="1" applyAlignment="1">
      <alignment horizontal="right" vertical="center"/>
    </xf>
    <xf numFmtId="168" fontId="35" fillId="6" borderId="1" xfId="0" applyNumberFormat="1" applyFont="1" applyFill="1" applyBorder="1" applyAlignment="1">
      <alignment horizontal="right" vertical="center"/>
    </xf>
    <xf numFmtId="8" fontId="35" fillId="6" borderId="1" xfId="0" applyNumberFormat="1" applyFont="1" applyFill="1" applyBorder="1" applyAlignment="1">
      <alignment horizontal="right" vertical="center"/>
    </xf>
    <xf numFmtId="0" fontId="42" fillId="4" borderId="1" xfId="0" applyFont="1" applyFill="1" applyBorder="1" applyAlignment="1">
      <alignment horizontal="center" vertical="center"/>
    </xf>
    <xf numFmtId="0" fontId="43" fillId="4" borderId="4" xfId="0" applyFont="1" applyFill="1" applyBorder="1" applyAlignment="1">
      <alignment horizontal="centerContinuous" vertical="center"/>
    </xf>
    <xf numFmtId="0" fontId="36" fillId="6" borderId="1" xfId="0" applyFont="1" applyFill="1" applyBorder="1" applyAlignment="1">
      <alignment horizontal="left" vertical="center"/>
    </xf>
    <xf numFmtId="168" fontId="36" fillId="6" borderId="1" xfId="0" applyNumberFormat="1" applyFont="1" applyFill="1" applyBorder="1" applyAlignment="1">
      <alignment horizontal="right" vertical="center"/>
    </xf>
    <xf numFmtId="0" fontId="44" fillId="4" borderId="1" xfId="0" applyFont="1" applyFill="1" applyBorder="1" applyAlignment="1">
      <alignment horizontal="center" vertical="center"/>
    </xf>
    <xf numFmtId="169" fontId="36" fillId="4" borderId="1" xfId="0" applyNumberFormat="1" applyFont="1" applyFill="1" applyBorder="1" applyAlignment="1">
      <alignment horizontal="right" vertical="center"/>
    </xf>
    <xf numFmtId="0" fontId="45" fillId="6" borderId="1" xfId="0" applyFont="1" applyFill="1" applyBorder="1" applyAlignment="1">
      <alignment horizontal="left" vertical="center"/>
    </xf>
    <xf numFmtId="0" fontId="44" fillId="6" borderId="1" xfId="0" applyFont="1" applyFill="1" applyBorder="1" applyAlignment="1">
      <alignment horizontal="center" vertical="center"/>
    </xf>
    <xf numFmtId="4" fontId="35" fillId="6" borderId="1" xfId="0" applyNumberFormat="1" applyFont="1" applyFill="1" applyBorder="1" applyAlignment="1">
      <alignment horizontal="right" vertical="center"/>
    </xf>
    <xf numFmtId="10" fontId="40" fillId="0" borderId="1" xfId="0" applyNumberFormat="1" applyFont="1" applyBorder="1" applyAlignment="1">
      <alignment horizontal="center" vertical="center"/>
    </xf>
    <xf numFmtId="2" fontId="39" fillId="0" borderId="1" xfId="0" applyNumberFormat="1" applyFont="1" applyBorder="1" applyAlignment="1">
      <alignment horizontal="center" vertical="center"/>
    </xf>
    <xf numFmtId="10" fontId="39" fillId="0" borderId="1" xfId="0" applyNumberFormat="1" applyFont="1" applyBorder="1" applyAlignment="1">
      <alignment horizontal="center" vertical="center"/>
    </xf>
    <xf numFmtId="0" fontId="45" fillId="3" borderId="1" xfId="0" applyFont="1" applyFill="1" applyBorder="1" applyAlignment="1">
      <alignment horizontal="left" vertical="center"/>
    </xf>
    <xf numFmtId="0" fontId="23" fillId="2" borderId="5" xfId="0" applyFont="1" applyFill="1" applyBorder="1" applyAlignment="1">
      <alignment horizontal="centerContinuous" vertical="center"/>
    </xf>
    <xf numFmtId="2" fontId="40" fillId="0" borderId="1" xfId="0" applyNumberFormat="1" applyFont="1" applyBorder="1" applyAlignment="1">
      <alignment horizontal="center" vertical="center"/>
    </xf>
    <xf numFmtId="173" fontId="40" fillId="0" borderId="1" xfId="0" applyNumberFormat="1" applyFont="1" applyBorder="1" applyAlignment="1">
      <alignment horizontal="center" vertical="center"/>
    </xf>
    <xf numFmtId="170" fontId="40" fillId="0" borderId="1" xfId="0" applyNumberFormat="1" applyFont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71" fontId="24" fillId="0" borderId="0" xfId="0" applyNumberFormat="1" applyFont="1" applyAlignment="1">
      <alignment horizontal="right" vertical="center"/>
    </xf>
    <xf numFmtId="171" fontId="25" fillId="0" borderId="0" xfId="0" applyNumberFormat="1" applyFont="1" applyAlignment="1">
      <alignment horizontal="right" vertical="center"/>
    </xf>
    <xf numFmtId="0" fontId="46" fillId="4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168" fontId="35" fillId="3" borderId="1" xfId="0" applyNumberFormat="1" applyFont="1" applyFill="1" applyBorder="1" applyAlignment="1">
      <alignment horizontal="right" vertical="center"/>
    </xf>
    <xf numFmtId="166" fontId="39" fillId="4" borderId="1" xfId="0" applyNumberFormat="1" applyFont="1" applyFill="1" applyBorder="1" applyAlignment="1">
      <alignment horizontal="center" vertical="center"/>
    </xf>
    <xf numFmtId="167" fontId="39" fillId="4" borderId="1" xfId="0" applyNumberFormat="1" applyFont="1" applyFill="1" applyBorder="1" applyAlignment="1">
      <alignment horizontal="center" vertical="center"/>
    </xf>
    <xf numFmtId="168" fontId="41" fillId="3" borderId="1" xfId="0" applyNumberFormat="1" applyFont="1" applyFill="1" applyBorder="1" applyAlignment="1">
      <alignment horizontal="right" vertical="center"/>
    </xf>
    <xf numFmtId="10" fontId="36" fillId="0" borderId="1" xfId="0" applyNumberFormat="1" applyFont="1" applyBorder="1" applyAlignment="1">
      <alignment horizontal="center" vertical="center"/>
    </xf>
    <xf numFmtId="10" fontId="35" fillId="0" borderId="1" xfId="0" applyNumberFormat="1" applyFont="1" applyBorder="1" applyAlignment="1">
      <alignment horizontal="center" vertical="center"/>
    </xf>
    <xf numFmtId="169" fontId="40" fillId="4" borderId="1" xfId="0" applyNumberFormat="1" applyFont="1" applyFill="1" applyBorder="1" applyAlignment="1">
      <alignment horizontal="right" vertical="center"/>
    </xf>
    <xf numFmtId="168" fontId="40" fillId="6" borderId="1" xfId="0" applyNumberFormat="1" applyFont="1" applyFill="1" applyBorder="1" applyAlignment="1">
      <alignment horizontal="right" vertical="center"/>
    </xf>
    <xf numFmtId="9" fontId="40" fillId="4" borderId="1" xfId="0" applyNumberFormat="1" applyFont="1" applyFill="1" applyBorder="1" applyAlignment="1">
      <alignment horizontal="right" vertical="center"/>
    </xf>
    <xf numFmtId="168" fontId="40" fillId="4" borderId="1" xfId="0" applyNumberFormat="1" applyFont="1" applyFill="1" applyBorder="1" applyAlignment="1">
      <alignment horizontal="right" vertical="center"/>
    </xf>
    <xf numFmtId="165" fontId="40" fillId="0" borderId="1" xfId="0" applyNumberFormat="1" applyFont="1" applyBorder="1" applyAlignment="1">
      <alignment horizontal="center" vertical="center"/>
    </xf>
    <xf numFmtId="173" fontId="36" fillId="0" borderId="1" xfId="0" applyNumberFormat="1" applyFont="1" applyBorder="1" applyAlignment="1">
      <alignment horizontal="center" vertical="center"/>
    </xf>
    <xf numFmtId="173" fontId="35" fillId="0" borderId="1" xfId="0" applyNumberFormat="1" applyFont="1" applyBorder="1" applyAlignment="1">
      <alignment horizontal="center" vertical="center"/>
    </xf>
    <xf numFmtId="174" fontId="36" fillId="0" borderId="1" xfId="0" applyNumberFormat="1" applyFont="1" applyBorder="1" applyAlignment="1">
      <alignment horizontal="center" vertical="center"/>
    </xf>
    <xf numFmtId="8" fontId="35" fillId="0" borderId="1" xfId="0" applyNumberFormat="1" applyFont="1" applyBorder="1" applyAlignment="1">
      <alignment horizontal="center" vertical="center"/>
    </xf>
    <xf numFmtId="8" fontId="35" fillId="4" borderId="1" xfId="0" applyNumberFormat="1" applyFont="1" applyFill="1" applyBorder="1" applyAlignment="1">
      <alignment horizontal="right" vertical="center"/>
    </xf>
    <xf numFmtId="8" fontId="36" fillId="6" borderId="1" xfId="0" applyNumberFormat="1" applyFont="1" applyFill="1" applyBorder="1" applyAlignment="1">
      <alignment horizontal="right" vertical="center"/>
    </xf>
    <xf numFmtId="165" fontId="40" fillId="4" borderId="1" xfId="0" applyNumberFormat="1" applyFont="1" applyFill="1" applyBorder="1" applyAlignment="1">
      <alignment horizontal="right" vertical="center"/>
    </xf>
    <xf numFmtId="165" fontId="42" fillId="6" borderId="1" xfId="0" applyNumberFormat="1" applyFont="1" applyFill="1" applyBorder="1" applyAlignment="1">
      <alignment horizontal="right" vertical="center"/>
    </xf>
    <xf numFmtId="175" fontId="40" fillId="10" borderId="1" xfId="0" applyNumberFormat="1" applyFont="1" applyFill="1" applyBorder="1" applyAlignment="1">
      <alignment horizontal="right" vertical="center"/>
    </xf>
    <xf numFmtId="175" fontId="40" fillId="11" borderId="1" xfId="0" applyNumberFormat="1" applyFont="1" applyFill="1" applyBorder="1" applyAlignment="1">
      <alignment horizontal="right" vertical="center"/>
    </xf>
    <xf numFmtId="175" fontId="39" fillId="10" borderId="1" xfId="0" applyNumberFormat="1" applyFont="1" applyFill="1" applyBorder="1" applyAlignment="1">
      <alignment horizontal="right" vertical="center"/>
    </xf>
    <xf numFmtId="175" fontId="39" fillId="11" borderId="1" xfId="0" applyNumberFormat="1" applyFont="1" applyFill="1" applyBorder="1" applyAlignment="1">
      <alignment horizontal="right" vertical="center"/>
    </xf>
    <xf numFmtId="175" fontId="36" fillId="10" borderId="1" xfId="0" applyNumberFormat="1" applyFont="1" applyFill="1" applyBorder="1" applyAlignment="1">
      <alignment horizontal="right" vertical="center"/>
    </xf>
    <xf numFmtId="175" fontId="36" fillId="11" borderId="1" xfId="0" applyNumberFormat="1" applyFont="1" applyFill="1" applyBorder="1" applyAlignment="1">
      <alignment horizontal="right" vertical="center"/>
    </xf>
    <xf numFmtId="8" fontId="40" fillId="4" borderId="3" xfId="0" applyNumberFormat="1" applyFont="1" applyFill="1" applyBorder="1" applyAlignment="1">
      <alignment horizontal="centerContinuous" vertical="center"/>
    </xf>
    <xf numFmtId="0" fontId="35" fillId="4" borderId="1" xfId="0" applyFont="1" applyFill="1" applyBorder="1" applyAlignment="1">
      <alignment horizontal="center" vertical="center"/>
    </xf>
    <xf numFmtId="168" fontId="39" fillId="3" borderId="1" xfId="0" applyNumberFormat="1" applyFont="1" applyFill="1" applyBorder="1" applyAlignment="1">
      <alignment horizontal="right" vertical="center"/>
    </xf>
    <xf numFmtId="169" fontId="39" fillId="13" borderId="1" xfId="0" applyNumberFormat="1" applyFont="1" applyFill="1" applyBorder="1" applyAlignment="1">
      <alignment horizontal="right" vertical="center"/>
    </xf>
    <xf numFmtId="9" fontId="39" fillId="13" borderId="1" xfId="0" applyNumberFormat="1" applyFont="1" applyFill="1" applyBorder="1" applyAlignment="1">
      <alignment horizontal="right" vertical="center"/>
    </xf>
    <xf numFmtId="168" fontId="39" fillId="13" borderId="1" xfId="0" applyNumberFormat="1" applyFont="1" applyFill="1" applyBorder="1" applyAlignment="1">
      <alignment horizontal="right" vertical="center"/>
    </xf>
    <xf numFmtId="168" fontId="39" fillId="0" borderId="1" xfId="0" applyNumberFormat="1" applyFont="1" applyBorder="1" applyAlignment="1">
      <alignment horizontal="right" vertical="center"/>
    </xf>
    <xf numFmtId="168" fontId="47" fillId="3" borderId="1" xfId="0" applyNumberFormat="1" applyFont="1" applyFill="1" applyBorder="1" applyAlignment="1">
      <alignment horizontal="right" vertical="center"/>
    </xf>
    <xf numFmtId="172" fontId="47" fillId="3" borderId="1" xfId="0" applyNumberFormat="1" applyFont="1" applyFill="1" applyBorder="1" applyAlignment="1">
      <alignment horizontal="right" vertical="center"/>
    </xf>
    <xf numFmtId="172" fontId="39" fillId="3" borderId="1" xfId="0" applyNumberFormat="1" applyFont="1" applyFill="1" applyBorder="1" applyAlignment="1">
      <alignment horizontal="right" vertical="center"/>
    </xf>
    <xf numFmtId="172" fontId="39" fillId="0" borderId="1" xfId="0" applyNumberFormat="1" applyFont="1" applyBorder="1" applyAlignment="1">
      <alignment horizontal="right" vertical="center"/>
    </xf>
    <xf numFmtId="172" fontId="41" fillId="3" borderId="1" xfId="0" applyNumberFormat="1" applyFont="1" applyFill="1" applyBorder="1" applyAlignment="1">
      <alignment horizontal="right" vertical="center"/>
    </xf>
    <xf numFmtId="165" fontId="39" fillId="3" borderId="1" xfId="0" applyNumberFormat="1" applyFont="1" applyFill="1" applyBorder="1" applyAlignment="1">
      <alignment horizontal="right" vertical="center"/>
    </xf>
    <xf numFmtId="165" fontId="47" fillId="3" borderId="1" xfId="0" applyNumberFormat="1" applyFont="1" applyFill="1" applyBorder="1" applyAlignment="1">
      <alignment horizontal="right" vertical="center"/>
    </xf>
    <xf numFmtId="165" fontId="39" fillId="0" borderId="1" xfId="0" applyNumberFormat="1" applyFont="1" applyBorder="1" applyAlignment="1">
      <alignment horizontal="right" vertical="center"/>
    </xf>
    <xf numFmtId="165" fontId="41" fillId="3" borderId="1" xfId="0" applyNumberFormat="1" applyFont="1" applyFill="1" applyBorder="1" applyAlignment="1">
      <alignment horizontal="right" vertical="center"/>
    </xf>
    <xf numFmtId="168" fontId="39" fillId="0" borderId="0" xfId="0" applyNumberFormat="1" applyFont="1" applyAlignment="1">
      <alignment horizontal="right" vertical="center"/>
    </xf>
    <xf numFmtId="0" fontId="46" fillId="3" borderId="1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/>
    </xf>
    <xf numFmtId="173" fontId="40" fillId="0" borderId="1" xfId="0" applyNumberFormat="1" applyFont="1" applyBorder="1" applyAlignment="1">
      <alignment horizontal="right" vertical="center"/>
    </xf>
    <xf numFmtId="170" fontId="40" fillId="0" borderId="1" xfId="0" applyNumberFormat="1" applyFont="1" applyBorder="1" applyAlignment="1">
      <alignment horizontal="right" vertical="center"/>
    </xf>
    <xf numFmtId="173" fontId="42" fillId="6" borderId="1" xfId="0" applyNumberFormat="1" applyFont="1" applyFill="1" applyBorder="1" applyAlignment="1">
      <alignment horizontal="right" vertical="center"/>
    </xf>
    <xf numFmtId="170" fontId="42" fillId="6" borderId="1" xfId="0" applyNumberFormat="1" applyFont="1" applyFill="1" applyBorder="1" applyAlignment="1">
      <alignment horizontal="right" vertical="center"/>
    </xf>
    <xf numFmtId="0" fontId="49" fillId="2" borderId="0" xfId="0" applyFont="1" applyFill="1" applyAlignment="1">
      <alignment horizontal="left" vertical="center" indent="1"/>
    </xf>
    <xf numFmtId="0" fontId="13" fillId="0" borderId="0" xfId="0" applyFont="1" applyAlignment="1">
      <alignment horizontal="left" vertical="center" wrapText="1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2" fillId="0" borderId="0" xfId="0" applyFont="1" applyAlignment="1">
      <alignment horizontal="left" vertical="center" wrapText="1"/>
    </xf>
    <xf numFmtId="17" fontId="19" fillId="2" borderId="0" xfId="0" applyNumberFormat="1" applyFont="1" applyFill="1" applyAlignment="1">
      <alignment horizontal="left" vertical="center" indent="1"/>
    </xf>
    <xf numFmtId="0" fontId="50" fillId="0" borderId="0" xfId="0" applyFont="1"/>
    <xf numFmtId="0" fontId="51" fillId="0" borderId="0" xfId="0" applyFont="1"/>
    <xf numFmtId="0" fontId="8" fillId="0" borderId="0" xfId="0" applyFont="1" applyFill="1" applyAlignment="1">
      <alignment horizontal="left" vertical="center"/>
    </xf>
    <xf numFmtId="0" fontId="0" fillId="0" borderId="0" xfId="0" applyFill="1"/>
    <xf numFmtId="0" fontId="28" fillId="0" borderId="0" xfId="0" applyFont="1" applyFill="1" applyAlignment="1">
      <alignment horizontal="left" vertical="center" wrapText="1"/>
    </xf>
    <xf numFmtId="0" fontId="1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16" fillId="0" borderId="0" xfId="0" applyFont="1" applyFill="1" applyAlignment="1">
      <alignment horizontal="center" vertical="center"/>
    </xf>
    <xf numFmtId="0" fontId="40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74373"/>
      <color rgb="FF23286F"/>
      <color rgb="FF385EA8"/>
      <color rgb="FF5BA1CF"/>
      <color rgb="FF91B5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1300" b="1">
                <a:solidFill>
                  <a:srgbClr val="0D1B2A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WBA / Sycamore — Implied Equity Value Per Share ($/sh)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'Football Field'!$C$14</c:f>
              <c:strCache>
                <c:ptCount val="1"/>
                <c:pt idx="0">
                  <c:v>Base (offset)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noFill/>
              <a:ln w="952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DF6E-4785-AF64-AA890C3D233D}"/>
              </c:ext>
            </c:extLst>
          </c:dPt>
          <c:dPt>
            <c:idx val="1"/>
            <c:invertIfNegative val="1"/>
            <c:bubble3D val="0"/>
            <c:spPr>
              <a:noFill/>
              <a:ln w="952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DF6E-4785-AF64-AA890C3D233D}"/>
              </c:ext>
            </c:extLst>
          </c:dPt>
          <c:dPt>
            <c:idx val="2"/>
            <c:invertIfNegative val="1"/>
            <c:bubble3D val="0"/>
            <c:spPr>
              <a:noFill/>
              <a:ln w="952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DF6E-4785-AF64-AA890C3D233D}"/>
              </c:ext>
            </c:extLst>
          </c:dPt>
          <c:dPt>
            <c:idx val="3"/>
            <c:invertIfNegative val="1"/>
            <c:bubble3D val="0"/>
            <c:spPr>
              <a:noFill/>
              <a:ln w="952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DF6E-4785-AF64-AA890C3D233D}"/>
              </c:ext>
            </c:extLst>
          </c:dPt>
          <c:dPt>
            <c:idx val="4"/>
            <c:invertIfNegative val="1"/>
            <c:bubble3D val="0"/>
            <c:spPr>
              <a:solidFill>
                <a:srgbClr val="91B5D9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F6E-4785-AF64-AA890C3D233D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F6E-4785-AF64-AA890C3D233D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F6E-4785-AF64-AA890C3D233D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F6E-4785-AF64-AA890C3D23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Field'!$B$15:$B$20</c:f>
              <c:strCache>
                <c:ptCount val="6"/>
                <c:pt idx="0">
                  <c:v>DCF — Exit Multiple</c:v>
                </c:pt>
                <c:pt idx="1">
                  <c:v>DCF — Gordon Growth</c:v>
                </c:pt>
                <c:pt idx="2">
                  <c:v>Comparable Companies</c:v>
                </c:pt>
                <c:pt idx="3">
                  <c:v>Precedent Transactions</c:v>
                </c:pt>
                <c:pt idx="4">
                  <c:v>Deal Price (Cash, $11.45)</c:v>
                </c:pt>
                <c:pt idx="5">
                  <c:v>Deal Price (Total, $14.45)</c:v>
                </c:pt>
              </c:strCache>
            </c:strRef>
          </c:cat>
          <c:val>
            <c:numRef>
              <c:f>'Football Field'!$C$15:$C$20</c:f>
              <c:numCache>
                <c:formatCode>"$"0.00</c:formatCode>
                <c:ptCount val="6"/>
                <c:pt idx="0">
                  <c:v>8.8394790172858606</c:v>
                </c:pt>
                <c:pt idx="1">
                  <c:v>7.9774447361844425</c:v>
                </c:pt>
                <c:pt idx="2">
                  <c:v>10.556844547563804</c:v>
                </c:pt>
                <c:pt idx="3">
                  <c:v>12.819025522041763</c:v>
                </c:pt>
                <c:pt idx="4">
                  <c:v>11.45</c:v>
                </c:pt>
                <c:pt idx="5">
                  <c:v>14.45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F6E-4785-AF64-AA890C3D233D}"/>
            </c:ext>
          </c:extLst>
        </c:ser>
        <c:ser>
          <c:idx val="1"/>
          <c:order val="1"/>
          <c:tx>
            <c:strRef>
              <c:f>'Football Field'!$D$14</c:f>
              <c:strCache>
                <c:ptCount val="1"/>
                <c:pt idx="0">
                  <c:v>Range Width</c:v>
                </c:pt>
              </c:strCache>
            </c:strRef>
          </c:tx>
          <c:spPr>
            <a:solidFill>
              <a:srgbClr val="1558B0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7437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F6E-4785-AF64-AA890C3D233D}"/>
              </c:ext>
            </c:extLst>
          </c:dPt>
          <c:dPt>
            <c:idx val="1"/>
            <c:invertIfNegative val="1"/>
            <c:bubble3D val="0"/>
            <c:spPr>
              <a:solidFill>
                <a:srgbClr val="23286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F6E-4785-AF64-AA890C3D233D}"/>
              </c:ext>
            </c:extLst>
          </c:dPt>
          <c:dPt>
            <c:idx val="2"/>
            <c:invertIfNegative val="1"/>
            <c:bubble3D val="0"/>
            <c:spPr>
              <a:solidFill>
                <a:srgbClr val="385EA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F6E-4785-AF64-AA890C3D233D}"/>
              </c:ext>
            </c:extLst>
          </c:dPt>
          <c:dPt>
            <c:idx val="3"/>
            <c:invertIfNegative val="1"/>
            <c:bubble3D val="0"/>
            <c:spPr>
              <a:solidFill>
                <a:srgbClr val="5BA1C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F6E-4785-AF64-AA890C3D233D}"/>
              </c:ext>
            </c:extLst>
          </c:dPt>
          <c:dPt>
            <c:idx val="4"/>
            <c:invertIfNegative val="1"/>
            <c:bubble3D val="0"/>
            <c:spPr>
              <a:solidFill>
                <a:srgbClr val="47556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F6E-4785-AF64-AA890C3D233D}"/>
              </c:ext>
            </c:extLst>
          </c:dPt>
          <c:dPt>
            <c:idx val="5"/>
            <c:invertIfNegative val="1"/>
            <c:bubble3D val="0"/>
            <c:spPr>
              <a:solidFill>
                <a:srgbClr val="6474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F6E-4785-AF64-AA890C3D233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$8.84 – $20.97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F6E-4785-AF64-AA890C3D233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$7.97 – $20.01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F6E-4785-AF64-AA890C3D233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$10.56 – $26.39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F6E-4785-AF64-AA890C3D233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$12.82 – $35.44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F6E-4785-AF64-AA890C3D233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$11.45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F6E-4785-AF64-AA890C3D233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$14.45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F6E-4785-AF64-AA890C3D233D}"/>
                </c:ext>
              </c:extLst>
            </c:dLbl>
            <c:numFmt formatCode="&quot;$&quot;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Field'!$B$15:$B$20</c:f>
              <c:strCache>
                <c:ptCount val="6"/>
                <c:pt idx="0">
                  <c:v>DCF — Exit Multiple</c:v>
                </c:pt>
                <c:pt idx="1">
                  <c:v>DCF — Gordon Growth</c:v>
                </c:pt>
                <c:pt idx="2">
                  <c:v>Comparable Companies</c:v>
                </c:pt>
                <c:pt idx="3">
                  <c:v>Precedent Transactions</c:v>
                </c:pt>
                <c:pt idx="4">
                  <c:v>Deal Price (Cash, $11.45)</c:v>
                </c:pt>
                <c:pt idx="5">
                  <c:v>Deal Price (Total, $14.45)</c:v>
                </c:pt>
              </c:strCache>
            </c:strRef>
          </c:cat>
          <c:val>
            <c:numRef>
              <c:f>'Football Field'!$D$15:$D$20</c:f>
              <c:numCache>
                <c:formatCode>"$"0.00</c:formatCode>
                <c:ptCount val="6"/>
                <c:pt idx="0">
                  <c:v>12.13153628005383</c:v>
                </c:pt>
                <c:pt idx="1">
                  <c:v>17.315283283662716</c:v>
                </c:pt>
                <c:pt idx="2">
                  <c:v>15.83526682134571</c:v>
                </c:pt>
                <c:pt idx="3">
                  <c:v>22.621809744779583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F6E-4785-AF64-AA890C3D2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0"/>
          <c:min val="0"/>
        </c:scaling>
        <c:delete val="1"/>
        <c:axPos val="b"/>
        <c:majorGridlines>
          <c:spPr>
            <a:ln>
              <a:solidFill>
                <a:srgbClr val="DBEAFE"/>
              </a:solidFill>
              <a:prstDash val="solid"/>
            </a:ln>
          </c:spPr>
        </c:majorGridlines>
        <c:numFmt formatCode="&quot;$&quot;0.00" sourceLinked="1"/>
        <c:majorTickMark val="none"/>
        <c:minorTickMark val="none"/>
        <c:tickLblPos val="nextTo"/>
        <c:crossAx val="10"/>
        <c:crosses val="autoZero"/>
        <c:crossBetween val="between"/>
        <c:majorUnit val="5"/>
      </c:valAx>
      <c:spPr>
        <a:solidFill>
          <a:srgbClr val="F8FAFC"/>
        </a:solidFill>
      </c:spPr>
    </c:plotArea>
    <c:plotVisOnly val="1"/>
    <c:dispBlanksAs val="gap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150705</xdr:colOff>
      <xdr:row>20</xdr:row>
      <xdr:rowOff>89702</xdr:rowOff>
    </xdr:from>
    <xdr:ext cx="9271000" cy="4953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E8A431-B8C1-4FAC-AE58-F4AF9D95936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de5ab2e-c5a4-4b34-adee-5844e7c3fef8&quot;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3"/>
  <sheetViews>
    <sheetView showGridLines="0" zoomScale="107" zoomScaleNormal="85" workbookViewId="0"/>
  </sheetViews>
  <sheetFormatPr defaultRowHeight="14.5" x14ac:dyDescent="0.35"/>
  <cols>
    <col min="1" max="1" width="2.6328125" customWidth="1"/>
    <col min="2" max="2" width="26" customWidth="1"/>
    <col min="3" max="3" width="61.26953125" bestFit="1" customWidth="1"/>
  </cols>
  <sheetData>
    <row r="2" spans="2:5" x14ac:dyDescent="0.35">
      <c r="B2" s="1"/>
      <c r="C2" s="1"/>
      <c r="E2" s="159"/>
    </row>
    <row r="3" spans="2:5" ht="42" customHeight="1" x14ac:dyDescent="0.35">
      <c r="B3" s="11" t="s">
        <v>0</v>
      </c>
      <c r="C3" s="2"/>
    </row>
    <row r="4" spans="2:5" ht="30" customHeight="1" x14ac:dyDescent="0.35">
      <c r="B4" s="12" t="s">
        <v>1</v>
      </c>
      <c r="C4" s="3"/>
    </row>
    <row r="5" spans="2:5" ht="24" customHeight="1" x14ac:dyDescent="0.35">
      <c r="B5" s="155">
        <v>45717</v>
      </c>
      <c r="C5" s="4"/>
    </row>
    <row r="6" spans="2:5" ht="15.5" x14ac:dyDescent="0.35">
      <c r="B6" s="149" t="s">
        <v>176</v>
      </c>
      <c r="C6" s="1"/>
    </row>
    <row r="7" spans="2:5" x14ac:dyDescent="0.35">
      <c r="B7" s="1"/>
      <c r="C7" s="1"/>
    </row>
    <row r="8" spans="2:5" ht="4" customHeight="1" x14ac:dyDescent="0.35">
      <c r="B8" s="14"/>
      <c r="C8" s="14"/>
    </row>
    <row r="10" spans="2:5" ht="20" customHeight="1" x14ac:dyDescent="0.35">
      <c r="B10" s="5" t="s">
        <v>2</v>
      </c>
    </row>
    <row r="11" spans="2:5" ht="18" customHeight="1" x14ac:dyDescent="0.35">
      <c r="B11" s="58" t="s">
        <v>3</v>
      </c>
      <c r="C11" s="62" t="s">
        <v>4</v>
      </c>
    </row>
    <row r="12" spans="2:5" ht="18" customHeight="1" x14ac:dyDescent="0.35">
      <c r="B12" s="58" t="s">
        <v>5</v>
      </c>
      <c r="C12" s="62" t="s">
        <v>6</v>
      </c>
    </row>
    <row r="13" spans="2:5" ht="18" customHeight="1" x14ac:dyDescent="0.35">
      <c r="B13" s="58" t="s">
        <v>7</v>
      </c>
      <c r="C13" s="62" t="s">
        <v>8</v>
      </c>
    </row>
    <row r="14" spans="2:5" ht="18" customHeight="1" x14ac:dyDescent="0.35">
      <c r="B14" s="58" t="s">
        <v>9</v>
      </c>
      <c r="C14" s="62" t="s">
        <v>10</v>
      </c>
    </row>
    <row r="15" spans="2:5" ht="18" customHeight="1" x14ac:dyDescent="0.35">
      <c r="B15" s="58" t="s">
        <v>11</v>
      </c>
      <c r="C15" s="62" t="s">
        <v>177</v>
      </c>
    </row>
    <row r="16" spans="2:5" ht="18" customHeight="1" x14ac:dyDescent="0.35">
      <c r="B16" s="58" t="s">
        <v>278</v>
      </c>
      <c r="C16" s="62" t="s">
        <v>12</v>
      </c>
    </row>
    <row r="17" spans="2:3" ht="18" customHeight="1" x14ac:dyDescent="0.35">
      <c r="B17" s="58" t="s">
        <v>13</v>
      </c>
      <c r="C17" s="62" t="s">
        <v>14</v>
      </c>
    </row>
    <row r="18" spans="2:3" ht="18" customHeight="1" x14ac:dyDescent="0.35">
      <c r="B18" s="58" t="s">
        <v>15</v>
      </c>
      <c r="C18" s="62" t="s">
        <v>16</v>
      </c>
    </row>
    <row r="19" spans="2:3" ht="18" customHeight="1" x14ac:dyDescent="0.35">
      <c r="B19" s="58" t="s">
        <v>17</v>
      </c>
      <c r="C19" s="62" t="s">
        <v>18</v>
      </c>
    </row>
    <row r="20" spans="2:3" ht="18" customHeight="1" x14ac:dyDescent="0.35">
      <c r="B20" s="58" t="s">
        <v>19</v>
      </c>
      <c r="C20" s="62" t="s">
        <v>20</v>
      </c>
    </row>
    <row r="21" spans="2:3" ht="18" customHeight="1" x14ac:dyDescent="0.35">
      <c r="B21" s="58" t="s">
        <v>282</v>
      </c>
      <c r="C21" s="62" t="s">
        <v>21</v>
      </c>
    </row>
    <row r="22" spans="2:3" ht="18" customHeight="1" x14ac:dyDescent="0.35">
      <c r="B22" s="58" t="s">
        <v>22</v>
      </c>
      <c r="C22" s="62" t="s">
        <v>23</v>
      </c>
    </row>
    <row r="23" spans="2:3" ht="18" customHeight="1" x14ac:dyDescent="0.35">
      <c r="B23" s="58" t="s">
        <v>24</v>
      </c>
      <c r="C23" s="62" t="s">
        <v>25</v>
      </c>
    </row>
    <row r="25" spans="2:3" ht="20" customHeight="1" x14ac:dyDescent="0.35">
      <c r="B25" s="5" t="s">
        <v>283</v>
      </c>
    </row>
    <row r="26" spans="2:3" ht="18" customHeight="1" x14ac:dyDescent="0.35">
      <c r="B26" s="58" t="s">
        <v>26</v>
      </c>
      <c r="C26" s="71" t="s">
        <v>27</v>
      </c>
    </row>
    <row r="27" spans="2:3" ht="18" customHeight="1" x14ac:dyDescent="0.35">
      <c r="B27" s="58" t="s">
        <v>28</v>
      </c>
      <c r="C27" s="71" t="s">
        <v>29</v>
      </c>
    </row>
    <row r="28" spans="2:3" ht="18" customHeight="1" x14ac:dyDescent="0.35">
      <c r="B28" s="58" t="s">
        <v>30</v>
      </c>
      <c r="C28" s="71" t="s">
        <v>31</v>
      </c>
    </row>
    <row r="29" spans="2:3" ht="18" customHeight="1" x14ac:dyDescent="0.35">
      <c r="B29" s="58" t="s">
        <v>32</v>
      </c>
      <c r="C29" s="71" t="s">
        <v>33</v>
      </c>
    </row>
    <row r="30" spans="2:3" ht="18" customHeight="1" x14ac:dyDescent="0.35">
      <c r="B30" s="58" t="s">
        <v>34</v>
      </c>
      <c r="C30" s="71" t="s">
        <v>35</v>
      </c>
    </row>
    <row r="31" spans="2:3" ht="18" customHeight="1" x14ac:dyDescent="0.35">
      <c r="B31" s="58" t="s">
        <v>36</v>
      </c>
      <c r="C31" s="71" t="s">
        <v>37</v>
      </c>
    </row>
    <row r="32" spans="2:3" ht="18" customHeight="1" x14ac:dyDescent="0.35">
      <c r="B32" s="58" t="s">
        <v>38</v>
      </c>
      <c r="C32" s="71" t="s">
        <v>39</v>
      </c>
    </row>
    <row r="33" spans="2:3" ht="18" customHeight="1" x14ac:dyDescent="0.35">
      <c r="B33" s="58" t="s">
        <v>40</v>
      </c>
      <c r="C33" s="71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56"/>
  <sheetViews>
    <sheetView showGridLines="0" topLeftCell="A50" zoomScaleNormal="100" workbookViewId="0"/>
  </sheetViews>
  <sheetFormatPr defaultRowHeight="14.5" x14ac:dyDescent="0.35"/>
  <cols>
    <col min="1" max="1" width="2.6328125" customWidth="1"/>
    <col min="2" max="2" width="41.1796875" bestFit="1" customWidth="1"/>
    <col min="3" max="3" width="16" customWidth="1"/>
  </cols>
  <sheetData>
    <row r="2" spans="2:3" ht="26" customHeight="1" x14ac:dyDescent="0.35">
      <c r="B2" s="13" t="s">
        <v>42</v>
      </c>
      <c r="C2" s="13"/>
    </row>
    <row r="3" spans="2:3" ht="4" customHeight="1" x14ac:dyDescent="0.35">
      <c r="B3" s="14"/>
      <c r="C3" s="14"/>
    </row>
    <row r="4" spans="2:3" x14ac:dyDescent="0.35">
      <c r="B4" s="157" t="s">
        <v>185</v>
      </c>
    </row>
    <row r="6" spans="2:3" ht="20" customHeight="1" x14ac:dyDescent="0.35">
      <c r="B6" s="41" t="s">
        <v>196</v>
      </c>
      <c r="C6" s="6"/>
    </row>
    <row r="7" spans="2:3" ht="18" customHeight="1" x14ac:dyDescent="0.35">
      <c r="B7" s="58" t="s">
        <v>43</v>
      </c>
      <c r="C7" s="66">
        <v>0.02</v>
      </c>
    </row>
    <row r="8" spans="2:3" ht="18" customHeight="1" x14ac:dyDescent="0.35">
      <c r="B8" s="58" t="s">
        <v>44</v>
      </c>
      <c r="C8" s="66">
        <v>1.4999999999999999E-2</v>
      </c>
    </row>
    <row r="9" spans="2:3" ht="18" customHeight="1" x14ac:dyDescent="0.35">
      <c r="B9" s="58" t="s">
        <v>45</v>
      </c>
      <c r="C9" s="66">
        <v>0.01</v>
      </c>
    </row>
    <row r="10" spans="2:3" ht="18" customHeight="1" x14ac:dyDescent="0.35">
      <c r="B10" s="58" t="s">
        <v>46</v>
      </c>
      <c r="C10" s="66">
        <v>0.01</v>
      </c>
    </row>
    <row r="11" spans="2:3" ht="18" customHeight="1" x14ac:dyDescent="0.35">
      <c r="B11" s="58" t="s">
        <v>47</v>
      </c>
      <c r="C11" s="66">
        <v>0.01</v>
      </c>
    </row>
    <row r="12" spans="2:3" ht="18" customHeight="1" x14ac:dyDescent="0.35">
      <c r="B12" s="58" t="s">
        <v>48</v>
      </c>
      <c r="C12" s="66">
        <v>2.6499999999999999E-2</v>
      </c>
    </row>
    <row r="13" spans="2:3" ht="18" customHeight="1" x14ac:dyDescent="0.35">
      <c r="B13" s="58" t="s">
        <v>49</v>
      </c>
      <c r="C13" s="66">
        <v>2.5499999999999998E-2</v>
      </c>
    </row>
    <row r="14" spans="2:3" ht="18" customHeight="1" x14ac:dyDescent="0.35">
      <c r="B14" s="58" t="s">
        <v>50</v>
      </c>
      <c r="C14" s="66">
        <v>2.4500000000000001E-2</v>
      </c>
    </row>
    <row r="15" spans="2:3" ht="18" customHeight="1" x14ac:dyDescent="0.35">
      <c r="B15" s="58" t="s">
        <v>51</v>
      </c>
      <c r="C15" s="66">
        <v>2.4E-2</v>
      </c>
    </row>
    <row r="16" spans="2:3" ht="18" customHeight="1" x14ac:dyDescent="0.35">
      <c r="B16" s="58" t="s">
        <v>52</v>
      </c>
      <c r="C16" s="66">
        <v>2.35E-2</v>
      </c>
    </row>
    <row r="17" spans="2:3" ht="18" customHeight="1" x14ac:dyDescent="0.35">
      <c r="B17" s="58" t="s">
        <v>197</v>
      </c>
      <c r="C17" s="67">
        <v>1.75</v>
      </c>
    </row>
    <row r="18" spans="2:3" ht="18" customHeight="1" x14ac:dyDescent="0.35">
      <c r="B18" s="58" t="s">
        <v>198</v>
      </c>
      <c r="C18" s="67">
        <v>1.7</v>
      </c>
    </row>
    <row r="19" spans="2:3" ht="18" customHeight="1" x14ac:dyDescent="0.35">
      <c r="B19" s="58" t="s">
        <v>199</v>
      </c>
      <c r="C19" s="67">
        <v>1.65</v>
      </c>
    </row>
    <row r="20" spans="2:3" ht="18" customHeight="1" x14ac:dyDescent="0.35">
      <c r="B20" s="58" t="s">
        <v>200</v>
      </c>
      <c r="C20" s="67">
        <v>1.6</v>
      </c>
    </row>
    <row r="21" spans="2:3" ht="18" customHeight="1" x14ac:dyDescent="0.35">
      <c r="B21" s="58" t="s">
        <v>201</v>
      </c>
      <c r="C21" s="67">
        <v>1.55</v>
      </c>
    </row>
    <row r="22" spans="2:3" ht="18" customHeight="1" x14ac:dyDescent="0.35">
      <c r="B22" s="58" t="s">
        <v>202</v>
      </c>
      <c r="C22" s="67">
        <v>1.1000000000000001</v>
      </c>
    </row>
    <row r="23" spans="2:3" ht="18" customHeight="1" x14ac:dyDescent="0.35">
      <c r="B23" s="58" t="s">
        <v>203</v>
      </c>
      <c r="C23" s="67">
        <v>1.05</v>
      </c>
    </row>
    <row r="24" spans="2:3" ht="18" customHeight="1" x14ac:dyDescent="0.35">
      <c r="B24" s="58" t="s">
        <v>204</v>
      </c>
      <c r="C24" s="67">
        <v>1</v>
      </c>
    </row>
    <row r="25" spans="2:3" ht="18" customHeight="1" x14ac:dyDescent="0.35">
      <c r="B25" s="58" t="s">
        <v>205</v>
      </c>
      <c r="C25" s="67">
        <v>0.95</v>
      </c>
    </row>
    <row r="26" spans="2:3" ht="18" customHeight="1" x14ac:dyDescent="0.35">
      <c r="B26" s="58" t="s">
        <v>206</v>
      </c>
      <c r="C26" s="67">
        <v>0.9</v>
      </c>
    </row>
    <row r="27" spans="2:3" ht="18" customHeight="1" x14ac:dyDescent="0.35">
      <c r="B27" s="58" t="s">
        <v>207</v>
      </c>
      <c r="C27" s="67">
        <v>-0.2</v>
      </c>
    </row>
    <row r="28" spans="2:3" ht="18" customHeight="1" x14ac:dyDescent="0.35">
      <c r="B28" s="58" t="s">
        <v>53</v>
      </c>
      <c r="C28" s="66">
        <v>0.25</v>
      </c>
    </row>
    <row r="30" spans="2:3" ht="20" customHeight="1" x14ac:dyDescent="0.35">
      <c r="B30" s="41" t="s">
        <v>54</v>
      </c>
      <c r="C30" s="6"/>
    </row>
    <row r="31" spans="2:3" ht="18" customHeight="1" x14ac:dyDescent="0.35">
      <c r="B31" s="58" t="s">
        <v>55</v>
      </c>
      <c r="C31" s="66">
        <v>4.2999999999999997E-2</v>
      </c>
    </row>
    <row r="32" spans="2:3" ht="18" customHeight="1" x14ac:dyDescent="0.35">
      <c r="B32" s="58" t="s">
        <v>56</v>
      </c>
      <c r="C32" s="66">
        <v>5.5E-2</v>
      </c>
    </row>
    <row r="33" spans="2:3" ht="18" customHeight="1" x14ac:dyDescent="0.35">
      <c r="B33" s="58" t="s">
        <v>57</v>
      </c>
      <c r="C33" s="68">
        <v>0.85</v>
      </c>
    </row>
    <row r="34" spans="2:3" ht="18" customHeight="1" x14ac:dyDescent="0.35">
      <c r="B34" s="58" t="s">
        <v>208</v>
      </c>
      <c r="C34" s="69">
        <f>C31+C33*C32</f>
        <v>8.9749999999999996E-2</v>
      </c>
    </row>
    <row r="35" spans="2:3" ht="18" customHeight="1" x14ac:dyDescent="0.35">
      <c r="B35" s="58" t="s">
        <v>58</v>
      </c>
      <c r="C35" s="66">
        <v>6.5000000000000002E-2</v>
      </c>
    </row>
    <row r="36" spans="2:3" ht="18" customHeight="1" x14ac:dyDescent="0.35">
      <c r="B36" s="58" t="s">
        <v>59</v>
      </c>
      <c r="C36" s="69">
        <f>C35*(1-C28)</f>
        <v>4.8750000000000002E-2</v>
      </c>
    </row>
    <row r="37" spans="2:3" ht="18" customHeight="1" x14ac:dyDescent="0.35">
      <c r="B37" s="58" t="s">
        <v>89</v>
      </c>
      <c r="C37" s="66">
        <v>0.52</v>
      </c>
    </row>
    <row r="38" spans="2:3" ht="18" customHeight="1" x14ac:dyDescent="0.35">
      <c r="B38" s="58" t="s">
        <v>90</v>
      </c>
      <c r="C38" s="69">
        <f>1-C37</f>
        <v>0.48</v>
      </c>
    </row>
    <row r="39" spans="2:3" ht="18" customHeight="1" x14ac:dyDescent="0.35">
      <c r="B39" s="58" t="s">
        <v>60</v>
      </c>
      <c r="C39" s="69">
        <f>C37*C36+C38*C34</f>
        <v>6.8429999999999991E-2</v>
      </c>
    </row>
    <row r="41" spans="2:3" ht="20" customHeight="1" x14ac:dyDescent="0.35">
      <c r="B41" s="41" t="s">
        <v>61</v>
      </c>
      <c r="C41" s="6"/>
    </row>
    <row r="42" spans="2:3" ht="18" customHeight="1" x14ac:dyDescent="0.35">
      <c r="B42" s="58" t="s">
        <v>62</v>
      </c>
      <c r="C42" s="70">
        <v>6.5</v>
      </c>
    </row>
    <row r="43" spans="2:3" ht="18" customHeight="1" x14ac:dyDescent="0.35">
      <c r="B43" s="58" t="s">
        <v>209</v>
      </c>
      <c r="C43" s="66">
        <v>0.01</v>
      </c>
    </row>
    <row r="45" spans="2:3" ht="20" customHeight="1" x14ac:dyDescent="0.35">
      <c r="B45" s="41" t="s">
        <v>210</v>
      </c>
      <c r="C45" s="6"/>
    </row>
    <row r="46" spans="2:3" ht="18" customHeight="1" x14ac:dyDescent="0.35">
      <c r="B46" s="58" t="s">
        <v>211</v>
      </c>
      <c r="C46" s="102">
        <v>0.86199999999999999</v>
      </c>
    </row>
    <row r="47" spans="2:3" ht="18" customHeight="1" x14ac:dyDescent="0.35">
      <c r="B47" s="58" t="s">
        <v>212</v>
      </c>
      <c r="C47" s="103">
        <v>10.1</v>
      </c>
    </row>
    <row r="48" spans="2:3" ht="18" customHeight="1" x14ac:dyDescent="0.35">
      <c r="B48" s="58" t="s">
        <v>213</v>
      </c>
      <c r="C48" s="103">
        <v>0.3</v>
      </c>
    </row>
    <row r="50" spans="2:3" ht="20" customHeight="1" x14ac:dyDescent="0.35">
      <c r="B50" s="41" t="s">
        <v>214</v>
      </c>
      <c r="C50" s="6"/>
    </row>
    <row r="51" spans="2:3" ht="18" customHeight="1" x14ac:dyDescent="0.35">
      <c r="B51" s="58" t="s">
        <v>63</v>
      </c>
      <c r="C51" s="70">
        <v>5</v>
      </c>
    </row>
    <row r="52" spans="2:3" ht="18" customHeight="1" x14ac:dyDescent="0.35">
      <c r="B52" s="58" t="s">
        <v>64</v>
      </c>
      <c r="C52" s="70">
        <v>6.5</v>
      </c>
    </row>
    <row r="53" spans="2:3" ht="18" customHeight="1" x14ac:dyDescent="0.35">
      <c r="B53" s="58" t="s">
        <v>65</v>
      </c>
      <c r="C53" s="70">
        <v>8.5</v>
      </c>
    </row>
    <row r="54" spans="2:3" ht="18" customHeight="1" x14ac:dyDescent="0.35">
      <c r="B54" s="58" t="s">
        <v>66</v>
      </c>
      <c r="C54" s="70">
        <v>5.5</v>
      </c>
    </row>
    <row r="55" spans="2:3" ht="18" customHeight="1" x14ac:dyDescent="0.35">
      <c r="B55" s="58" t="s">
        <v>67</v>
      </c>
      <c r="C55" s="70">
        <v>8</v>
      </c>
    </row>
    <row r="56" spans="2:3" ht="18" customHeight="1" x14ac:dyDescent="0.35">
      <c r="B56" s="58" t="s">
        <v>68</v>
      </c>
      <c r="C56" s="70">
        <v>10.5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9"/>
  <sheetViews>
    <sheetView showGridLines="0" workbookViewId="0"/>
  </sheetViews>
  <sheetFormatPr defaultRowHeight="14.5" x14ac:dyDescent="0.35"/>
  <cols>
    <col min="1" max="1" width="2.6328125" customWidth="1"/>
    <col min="2" max="2" width="34" customWidth="1"/>
    <col min="3" max="6" width="13" customWidth="1"/>
  </cols>
  <sheetData>
    <row r="2" spans="2:6" ht="26" customHeight="1" x14ac:dyDescent="0.35">
      <c r="B2" s="13" t="s">
        <v>184</v>
      </c>
      <c r="C2" s="13"/>
      <c r="D2" s="13"/>
      <c r="E2" s="13"/>
      <c r="F2" s="13"/>
    </row>
    <row r="3" spans="2:6" ht="4" customHeight="1" x14ac:dyDescent="0.35">
      <c r="B3" s="14"/>
      <c r="C3" s="14"/>
      <c r="D3" s="14"/>
      <c r="E3" s="14"/>
      <c r="F3" s="14"/>
    </row>
    <row r="4" spans="2:6" x14ac:dyDescent="0.35">
      <c r="B4" s="157" t="s">
        <v>185</v>
      </c>
    </row>
    <row r="5" spans="2:6" x14ac:dyDescent="0.35">
      <c r="B5" s="156"/>
    </row>
    <row r="6" spans="2:6" ht="20" customHeight="1" x14ac:dyDescent="0.35">
      <c r="B6" s="41" t="s">
        <v>74</v>
      </c>
      <c r="C6" s="6"/>
      <c r="D6" s="6"/>
      <c r="E6" s="6"/>
      <c r="F6" s="6"/>
    </row>
    <row r="7" spans="2:6" ht="20" customHeight="1" x14ac:dyDescent="0.35">
      <c r="B7" s="55" t="s">
        <v>69</v>
      </c>
      <c r="C7" s="55" t="s">
        <v>70</v>
      </c>
      <c r="D7" s="55" t="s">
        <v>71</v>
      </c>
      <c r="E7" s="55" t="s">
        <v>72</v>
      </c>
      <c r="F7" s="55" t="s">
        <v>73</v>
      </c>
    </row>
    <row r="8" spans="2:6" ht="18" customHeight="1" x14ac:dyDescent="0.35">
      <c r="B8" s="57" t="s">
        <v>186</v>
      </c>
      <c r="C8" s="104">
        <v>132.5</v>
      </c>
      <c r="D8" s="104">
        <v>132.69999999999999</v>
      </c>
      <c r="E8" s="104">
        <v>139.1</v>
      </c>
      <c r="F8" s="104">
        <v>147.69999999999999</v>
      </c>
    </row>
    <row r="9" spans="2:6" ht="18" customHeight="1" x14ac:dyDescent="0.35">
      <c r="B9" s="62" t="s">
        <v>187</v>
      </c>
      <c r="C9" s="94" t="s">
        <v>75</v>
      </c>
      <c r="D9" s="82">
        <f>D8/C8-1</f>
        <v>1.5094339622641062E-3</v>
      </c>
      <c r="E9" s="82">
        <f>E8/D8-1</f>
        <v>4.8229088168801892E-2</v>
      </c>
      <c r="F9" s="82">
        <f>F8/E8-1</f>
        <v>6.1826024442846794E-2</v>
      </c>
    </row>
    <row r="10" spans="2:6" ht="18" customHeight="1" x14ac:dyDescent="0.35">
      <c r="B10" s="57" t="s">
        <v>188</v>
      </c>
      <c r="C10" s="104">
        <v>5.6</v>
      </c>
      <c r="D10" s="104">
        <v>5.0999999999999996</v>
      </c>
      <c r="E10" s="104">
        <v>4.5</v>
      </c>
      <c r="F10" s="104">
        <v>3.9</v>
      </c>
    </row>
    <row r="11" spans="2:6" ht="18" customHeight="1" x14ac:dyDescent="0.35">
      <c r="B11" s="62" t="s">
        <v>189</v>
      </c>
      <c r="C11" s="82">
        <f>C10/C8</f>
        <v>4.2264150943396223E-2</v>
      </c>
      <c r="D11" s="82">
        <f>D10/D8</f>
        <v>3.8432554634513942E-2</v>
      </c>
      <c r="E11" s="82">
        <f>E10/E8</f>
        <v>3.235082674335011E-2</v>
      </c>
      <c r="F11" s="82">
        <f>F10/F8</f>
        <v>2.6404874746106977E-2</v>
      </c>
    </row>
    <row r="12" spans="2:6" ht="18" customHeight="1" x14ac:dyDescent="0.35">
      <c r="B12" s="57" t="s">
        <v>190</v>
      </c>
      <c r="C12" s="104">
        <v>1.7</v>
      </c>
      <c r="D12" s="104">
        <v>1.7</v>
      </c>
      <c r="E12" s="104">
        <v>1.8</v>
      </c>
      <c r="F12" s="104">
        <v>1.8</v>
      </c>
    </row>
    <row r="13" spans="2:6" ht="18" customHeight="1" x14ac:dyDescent="0.35">
      <c r="B13" s="57" t="s">
        <v>191</v>
      </c>
      <c r="C13" s="101">
        <f>C10-C12</f>
        <v>3.8999999999999995</v>
      </c>
      <c r="D13" s="101">
        <f>D10-D12</f>
        <v>3.3999999999999995</v>
      </c>
      <c r="E13" s="101">
        <f>E10-E12</f>
        <v>2.7</v>
      </c>
      <c r="F13" s="101">
        <f>F10-F12</f>
        <v>2.0999999999999996</v>
      </c>
    </row>
    <row r="14" spans="2:6" ht="18" customHeight="1" x14ac:dyDescent="0.35">
      <c r="B14" s="62" t="s">
        <v>192</v>
      </c>
      <c r="C14" s="82">
        <f>C13/C8</f>
        <v>2.9433962264150938E-2</v>
      </c>
      <c r="D14" s="82">
        <f>D13/D8</f>
        <v>2.562170308967596E-2</v>
      </c>
      <c r="E14" s="82">
        <f>E13/E8</f>
        <v>1.9410496046010067E-2</v>
      </c>
      <c r="F14" s="82">
        <f>F13/F8</f>
        <v>1.4218009478672985E-2</v>
      </c>
    </row>
    <row r="16" spans="2:6" ht="20" customHeight="1" x14ac:dyDescent="0.35">
      <c r="B16" s="41" t="s">
        <v>76</v>
      </c>
      <c r="C16" s="6"/>
      <c r="D16" s="6"/>
      <c r="E16" s="6"/>
      <c r="F16" s="6"/>
    </row>
    <row r="17" spans="2:6" ht="20" customHeight="1" x14ac:dyDescent="0.35">
      <c r="B17" s="55" t="s">
        <v>69</v>
      </c>
      <c r="C17" s="55" t="s">
        <v>70</v>
      </c>
      <c r="D17" s="55" t="s">
        <v>71</v>
      </c>
      <c r="E17" s="55" t="s">
        <v>72</v>
      </c>
      <c r="F17" s="55" t="s">
        <v>73</v>
      </c>
    </row>
    <row r="18" spans="2:6" ht="18" customHeight="1" x14ac:dyDescent="0.35">
      <c r="B18" s="57" t="s">
        <v>193</v>
      </c>
      <c r="C18" s="104">
        <v>1.5</v>
      </c>
      <c r="D18" s="104">
        <v>1.7</v>
      </c>
      <c r="E18" s="104">
        <v>1.3</v>
      </c>
      <c r="F18" s="104">
        <v>1.1000000000000001</v>
      </c>
    </row>
    <row r="19" spans="2:6" ht="18" customHeight="1" x14ac:dyDescent="0.35">
      <c r="B19" s="62" t="s">
        <v>194</v>
      </c>
      <c r="C19" s="82">
        <f>C18/C8</f>
        <v>1.1320754716981131E-2</v>
      </c>
      <c r="D19" s="82">
        <f>D18/D8</f>
        <v>1.2810851544837982E-2</v>
      </c>
      <c r="E19" s="82">
        <f>E18/E8</f>
        <v>9.3457943925233655E-3</v>
      </c>
      <c r="F19" s="82">
        <f>F18/F8</f>
        <v>7.4475287745429941E-3</v>
      </c>
    </row>
    <row r="20" spans="2:6" ht="18" customHeight="1" x14ac:dyDescent="0.35">
      <c r="B20" s="57" t="s">
        <v>284</v>
      </c>
      <c r="C20" s="101">
        <f>C10-C18</f>
        <v>4.0999999999999996</v>
      </c>
      <c r="D20" s="101">
        <f>D10-D18</f>
        <v>3.3999999999999995</v>
      </c>
      <c r="E20" s="101">
        <f>E10-E18</f>
        <v>3.2</v>
      </c>
      <c r="F20" s="101">
        <f>F10-F18</f>
        <v>2.8</v>
      </c>
    </row>
    <row r="21" spans="2:6" ht="18" customHeight="1" x14ac:dyDescent="0.35">
      <c r="B21" s="62" t="s">
        <v>195</v>
      </c>
      <c r="C21" s="82">
        <f>C20/C8</f>
        <v>3.0943396226415093E-2</v>
      </c>
      <c r="D21" s="82">
        <f>D20/D8</f>
        <v>2.562170308967596E-2</v>
      </c>
      <c r="E21" s="82">
        <f>E20/E8</f>
        <v>2.3005032350826744E-2</v>
      </c>
      <c r="F21" s="82">
        <f>F20/F8</f>
        <v>1.8957345971563982E-2</v>
      </c>
    </row>
    <row r="23" spans="2:6" ht="18" customHeight="1" x14ac:dyDescent="0.35">
      <c r="B23" s="5" t="s">
        <v>77</v>
      </c>
    </row>
    <row r="24" spans="2:6" ht="28" customHeight="1" x14ac:dyDescent="0.35">
      <c r="B24" s="150" t="s">
        <v>78</v>
      </c>
      <c r="C24" s="151"/>
      <c r="D24" s="151"/>
      <c r="E24" s="151"/>
      <c r="F24" s="151"/>
    </row>
    <row r="25" spans="2:6" ht="28" customHeight="1" x14ac:dyDescent="0.35">
      <c r="B25" s="150" t="s">
        <v>79</v>
      </c>
      <c r="C25" s="151"/>
      <c r="D25" s="151"/>
      <c r="E25" s="151"/>
      <c r="F25" s="151"/>
    </row>
    <row r="26" spans="2:6" ht="28" customHeight="1" x14ac:dyDescent="0.35">
      <c r="B26" s="150" t="s">
        <v>80</v>
      </c>
      <c r="C26" s="151"/>
      <c r="D26" s="151"/>
      <c r="E26" s="151"/>
      <c r="F26" s="151"/>
    </row>
    <row r="27" spans="2:6" ht="28" customHeight="1" x14ac:dyDescent="0.35">
      <c r="B27" s="150" t="s">
        <v>81</v>
      </c>
      <c r="C27" s="151"/>
      <c r="D27" s="151"/>
      <c r="E27" s="151"/>
      <c r="F27" s="151"/>
    </row>
    <row r="29" spans="2:6" x14ac:dyDescent="0.35">
      <c r="B29" s="43" t="s">
        <v>285</v>
      </c>
    </row>
  </sheetData>
  <mergeCells count="4">
    <mergeCell ref="B25:F25"/>
    <mergeCell ref="B24:F24"/>
    <mergeCell ref="B27:F27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78"/>
  <sheetViews>
    <sheetView showGridLines="0" zoomScaleNormal="100" workbookViewId="0"/>
  </sheetViews>
  <sheetFormatPr defaultRowHeight="14.5" x14ac:dyDescent="0.35"/>
  <cols>
    <col min="1" max="1" width="2.6328125" customWidth="1"/>
    <col min="2" max="2" width="41.08984375" bestFit="1" customWidth="1"/>
    <col min="3" max="8" width="13" customWidth="1"/>
    <col min="9" max="9" width="2" customWidth="1"/>
    <col min="10" max="10" width="41.08984375" bestFit="1" customWidth="1"/>
    <col min="11" max="15" width="13" customWidth="1"/>
  </cols>
  <sheetData>
    <row r="2" spans="2:8" ht="26" customHeight="1" x14ac:dyDescent="0.35">
      <c r="B2" s="13" t="s">
        <v>215</v>
      </c>
      <c r="C2" s="13"/>
      <c r="D2" s="13"/>
      <c r="E2" s="13"/>
      <c r="F2" s="13"/>
      <c r="G2" s="13"/>
      <c r="H2" s="13"/>
    </row>
    <row r="3" spans="2:8" ht="4" customHeight="1" x14ac:dyDescent="0.35">
      <c r="B3" s="14"/>
      <c r="C3" s="14"/>
      <c r="D3" s="14"/>
      <c r="E3" s="14"/>
      <c r="F3" s="14"/>
      <c r="G3" s="14"/>
      <c r="H3" s="14"/>
    </row>
    <row r="4" spans="2:8" x14ac:dyDescent="0.35">
      <c r="B4" s="157" t="s">
        <v>185</v>
      </c>
    </row>
    <row r="6" spans="2:8" ht="20" customHeight="1" x14ac:dyDescent="0.35">
      <c r="B6" s="41" t="s">
        <v>216</v>
      </c>
      <c r="C6" s="6"/>
      <c r="D6" s="6"/>
      <c r="E6" s="6"/>
      <c r="F6" s="6"/>
      <c r="G6" s="6"/>
      <c r="H6" s="6"/>
    </row>
    <row r="7" spans="2:8" ht="20" customHeight="1" x14ac:dyDescent="0.35">
      <c r="B7" s="55"/>
      <c r="C7" s="55" t="s">
        <v>73</v>
      </c>
      <c r="D7" s="55" t="s">
        <v>82</v>
      </c>
      <c r="E7" s="55" t="s">
        <v>83</v>
      </c>
      <c r="F7" s="55" t="s">
        <v>84</v>
      </c>
      <c r="G7" s="55" t="s">
        <v>85</v>
      </c>
      <c r="H7" s="55" t="s">
        <v>86</v>
      </c>
    </row>
    <row r="8" spans="2:8" ht="18" customHeight="1" x14ac:dyDescent="0.35">
      <c r="B8" s="79" t="s">
        <v>186</v>
      </c>
      <c r="C8" s="128">
        <v>147.69999999999999</v>
      </c>
      <c r="D8" s="80">
        <f>C8*(1+D9)</f>
        <v>150.654</v>
      </c>
      <c r="E8" s="80">
        <f>D8*(1+E9)</f>
        <v>152.91380999999998</v>
      </c>
      <c r="F8" s="80">
        <f>E8*(1+F9)</f>
        <v>154.4429481</v>
      </c>
      <c r="G8" s="80">
        <f>F8*(1+G9)</f>
        <v>155.987377581</v>
      </c>
      <c r="H8" s="80">
        <f>G8*(1+H9)</f>
        <v>157.54725135680999</v>
      </c>
    </row>
    <row r="9" spans="2:8" ht="18" customHeight="1" x14ac:dyDescent="0.35">
      <c r="B9" s="62" t="s">
        <v>187</v>
      </c>
      <c r="C9" s="81" t="s">
        <v>75</v>
      </c>
      <c r="D9" s="107">
        <f>Assumptions!C7</f>
        <v>0.02</v>
      </c>
      <c r="E9" s="107">
        <f>Assumptions!C8</f>
        <v>1.4999999999999999E-2</v>
      </c>
      <c r="F9" s="107">
        <f>Assumptions!C9</f>
        <v>0.01</v>
      </c>
      <c r="G9" s="107">
        <f>Assumptions!C10</f>
        <v>0.01</v>
      </c>
      <c r="H9" s="107">
        <f>Assumptions!C11</f>
        <v>0.01</v>
      </c>
    </row>
    <row r="10" spans="2:8" ht="18" customHeight="1" x14ac:dyDescent="0.35">
      <c r="B10" s="79" t="s">
        <v>188</v>
      </c>
      <c r="C10" s="128">
        <v>3.9</v>
      </c>
      <c r="D10" s="80">
        <f>D8*D11</f>
        <v>3.9923309999999996</v>
      </c>
      <c r="E10" s="80">
        <f>E8*E11</f>
        <v>3.8993021549999995</v>
      </c>
      <c r="F10" s="80">
        <f>F8*F11</f>
        <v>3.7838522284500002</v>
      </c>
      <c r="G10" s="80">
        <f>G8*G11</f>
        <v>3.7436970619440002</v>
      </c>
      <c r="H10" s="80">
        <f>H8*H11</f>
        <v>3.7023604068850346</v>
      </c>
    </row>
    <row r="11" spans="2:8" ht="18" customHeight="1" x14ac:dyDescent="0.35">
      <c r="B11" s="62" t="s">
        <v>189</v>
      </c>
      <c r="C11" s="129">
        <v>2.640487474610698E-2</v>
      </c>
      <c r="D11" s="107">
        <f>Assumptions!C12</f>
        <v>2.6499999999999999E-2</v>
      </c>
      <c r="E11" s="107">
        <f>Assumptions!C13</f>
        <v>2.5499999999999998E-2</v>
      </c>
      <c r="F11" s="107">
        <f>Assumptions!C14</f>
        <v>2.4500000000000001E-2</v>
      </c>
      <c r="G11" s="107">
        <f>Assumptions!C15</f>
        <v>2.4E-2</v>
      </c>
      <c r="H11" s="107">
        <f>Assumptions!C16</f>
        <v>2.35E-2</v>
      </c>
    </row>
    <row r="12" spans="2:8" ht="18" customHeight="1" x14ac:dyDescent="0.35">
      <c r="B12" s="79" t="s">
        <v>190</v>
      </c>
      <c r="C12" s="128">
        <v>1.8</v>
      </c>
      <c r="D12" s="108">
        <f>Assumptions!C17</f>
        <v>1.75</v>
      </c>
      <c r="E12" s="108">
        <f>Assumptions!C18</f>
        <v>1.7</v>
      </c>
      <c r="F12" s="108">
        <f>Assumptions!C19</f>
        <v>1.65</v>
      </c>
      <c r="G12" s="108">
        <f>Assumptions!C20</f>
        <v>1.6</v>
      </c>
      <c r="H12" s="108">
        <f>Assumptions!C21</f>
        <v>1.55</v>
      </c>
    </row>
    <row r="13" spans="2:8" ht="18" customHeight="1" x14ac:dyDescent="0.35">
      <c r="B13" s="79" t="s">
        <v>191</v>
      </c>
      <c r="C13" s="128">
        <v>2.1</v>
      </c>
      <c r="D13" s="80">
        <f>D10-D12</f>
        <v>2.2423309999999996</v>
      </c>
      <c r="E13" s="80">
        <f>E10-E12</f>
        <v>2.1993021549999998</v>
      </c>
      <c r="F13" s="80">
        <f>F10-F12</f>
        <v>2.1338522284500003</v>
      </c>
      <c r="G13" s="80">
        <f>G10-G12</f>
        <v>2.1436970619440001</v>
      </c>
      <c r="H13" s="80">
        <f>H10-H12</f>
        <v>2.1523604068850348</v>
      </c>
    </row>
    <row r="14" spans="2:8" ht="18" customHeight="1" x14ac:dyDescent="0.35">
      <c r="B14" s="62" t="s">
        <v>87</v>
      </c>
      <c r="C14" s="130">
        <v>0.25</v>
      </c>
      <c r="D14" s="109">
        <f>Assumptions!C28</f>
        <v>0.25</v>
      </c>
      <c r="E14" s="109">
        <f>Assumptions!C28</f>
        <v>0.25</v>
      </c>
      <c r="F14" s="109">
        <f>Assumptions!C28</f>
        <v>0.25</v>
      </c>
      <c r="G14" s="109">
        <f>Assumptions!C28</f>
        <v>0.25</v>
      </c>
      <c r="H14" s="109">
        <f>Assumptions!C28</f>
        <v>0.25</v>
      </c>
    </row>
    <row r="15" spans="2:8" ht="18" customHeight="1" x14ac:dyDescent="0.35">
      <c r="B15" s="79" t="s">
        <v>217</v>
      </c>
      <c r="C15" s="128">
        <v>1.575</v>
      </c>
      <c r="D15" s="80">
        <f>D13*(1-D14)</f>
        <v>1.6817482499999996</v>
      </c>
      <c r="E15" s="80">
        <f>E13*(1-E14)</f>
        <v>1.6494766162499999</v>
      </c>
      <c r="F15" s="80">
        <f>F13*(1-F14)</f>
        <v>1.6003891713375002</v>
      </c>
      <c r="G15" s="80">
        <f>G13*(1-G14)</f>
        <v>1.6077727964580002</v>
      </c>
      <c r="H15" s="80">
        <f>H13*(1-H14)</f>
        <v>1.6142703051637761</v>
      </c>
    </row>
    <row r="16" spans="2:8" ht="18" customHeight="1" x14ac:dyDescent="0.35">
      <c r="B16" s="62" t="s">
        <v>218</v>
      </c>
      <c r="C16" s="131">
        <v>1.8</v>
      </c>
      <c r="D16" s="73">
        <f>D12</f>
        <v>1.75</v>
      </c>
      <c r="E16" s="73">
        <f>E12</f>
        <v>1.7</v>
      </c>
      <c r="F16" s="73">
        <f>F12</f>
        <v>1.65</v>
      </c>
      <c r="G16" s="73">
        <f>G12</f>
        <v>1.6</v>
      </c>
      <c r="H16" s="73">
        <f>H12</f>
        <v>1.55</v>
      </c>
    </row>
    <row r="17" spans="2:9" ht="18" customHeight="1" x14ac:dyDescent="0.35">
      <c r="B17" s="62" t="s">
        <v>219</v>
      </c>
      <c r="C17" s="132">
        <v>-1.1000000000000001</v>
      </c>
      <c r="D17" s="110">
        <f>-Assumptions!C22</f>
        <v>-1.1000000000000001</v>
      </c>
      <c r="E17" s="110">
        <f>-Assumptions!C23</f>
        <v>-1.05</v>
      </c>
      <c r="F17" s="110">
        <f>-Assumptions!C24</f>
        <v>-1</v>
      </c>
      <c r="G17" s="110">
        <f>-Assumptions!C25</f>
        <v>-0.95</v>
      </c>
      <c r="H17" s="110">
        <f>-Assumptions!C26</f>
        <v>-0.9</v>
      </c>
    </row>
    <row r="18" spans="2:9" ht="18" customHeight="1" x14ac:dyDescent="0.35">
      <c r="B18" s="62" t="s">
        <v>220</v>
      </c>
      <c r="C18" s="81" t="s">
        <v>75</v>
      </c>
      <c r="D18" s="110">
        <f>Assumptions!C27</f>
        <v>-0.2</v>
      </c>
      <c r="E18" s="164">
        <f>Assumptions!C27</f>
        <v>-0.2</v>
      </c>
      <c r="F18" s="110">
        <f>Assumptions!C27</f>
        <v>-0.2</v>
      </c>
      <c r="G18" s="110">
        <f>Assumptions!C27</f>
        <v>-0.2</v>
      </c>
      <c r="H18" s="110">
        <f>Assumptions!C27</f>
        <v>-0.2</v>
      </c>
      <c r="I18" s="36"/>
    </row>
    <row r="19" spans="2:9" ht="18" customHeight="1" x14ac:dyDescent="0.35">
      <c r="B19" s="83" t="s">
        <v>221</v>
      </c>
      <c r="C19" s="84" t="s">
        <v>75</v>
      </c>
      <c r="D19" s="85">
        <f>D15+D16+D17+D18</f>
        <v>2.1317482499999993</v>
      </c>
      <c r="E19" s="85">
        <f>E15+E16+E17+E18</f>
        <v>2.0994766162499996</v>
      </c>
      <c r="F19" s="85">
        <f>F15+F16+F17+F18</f>
        <v>2.0503891713374998</v>
      </c>
      <c r="G19" s="85">
        <f>G15+G16+G17+G18</f>
        <v>2.0577727964579999</v>
      </c>
      <c r="H19" s="85">
        <f>H15+H16+H17+H18</f>
        <v>2.0642703051637761</v>
      </c>
    </row>
    <row r="21" spans="2:9" ht="20" customHeight="1" x14ac:dyDescent="0.35">
      <c r="B21" s="41" t="s">
        <v>54</v>
      </c>
      <c r="C21" s="6"/>
    </row>
    <row r="22" spans="2:9" ht="18" customHeight="1" x14ac:dyDescent="0.35">
      <c r="B22" s="58" t="s">
        <v>88</v>
      </c>
      <c r="C22" s="86">
        <f>Assumptions!C31</f>
        <v>4.2999999999999997E-2</v>
      </c>
      <c r="E22" s="15"/>
      <c r="F22" s="16"/>
    </row>
    <row r="23" spans="2:9" ht="18" customHeight="1" x14ac:dyDescent="0.35">
      <c r="B23" s="58" t="s">
        <v>222</v>
      </c>
      <c r="C23" s="86">
        <f>Assumptions!C32</f>
        <v>5.5E-2</v>
      </c>
      <c r="E23" s="15"/>
      <c r="F23" s="16"/>
    </row>
    <row r="24" spans="2:9" ht="18" customHeight="1" x14ac:dyDescent="0.35">
      <c r="B24" s="58" t="s">
        <v>57</v>
      </c>
      <c r="C24" s="87">
        <v>0.85</v>
      </c>
      <c r="E24" s="17"/>
    </row>
    <row r="25" spans="2:9" ht="18" customHeight="1" x14ac:dyDescent="0.35">
      <c r="B25" s="58" t="s">
        <v>208</v>
      </c>
      <c r="C25" s="105">
        <f>C22+C24*C23</f>
        <v>8.9749999999999996E-2</v>
      </c>
      <c r="E25" s="18"/>
      <c r="F25" s="16"/>
    </row>
    <row r="26" spans="2:9" ht="18" customHeight="1" x14ac:dyDescent="0.35">
      <c r="B26" s="58" t="s">
        <v>58</v>
      </c>
      <c r="C26" s="88">
        <v>6.5000000000000002E-2</v>
      </c>
      <c r="E26" s="19"/>
      <c r="F26" s="16"/>
    </row>
    <row r="27" spans="2:9" ht="18" customHeight="1" x14ac:dyDescent="0.35">
      <c r="B27" s="58" t="s">
        <v>59</v>
      </c>
      <c r="C27" s="105">
        <f>C26*(1-Assumptions!C28)</f>
        <v>4.8750000000000002E-2</v>
      </c>
      <c r="E27" s="18"/>
      <c r="F27" s="16"/>
    </row>
    <row r="28" spans="2:9" ht="18" customHeight="1" x14ac:dyDescent="0.35">
      <c r="B28" s="58" t="s">
        <v>89</v>
      </c>
      <c r="C28" s="88">
        <v>0.52</v>
      </c>
      <c r="E28" s="19"/>
      <c r="F28" s="16"/>
    </row>
    <row r="29" spans="2:9" ht="18" customHeight="1" x14ac:dyDescent="0.35">
      <c r="B29" s="58" t="s">
        <v>90</v>
      </c>
      <c r="C29" s="105">
        <f>1-C28</f>
        <v>0.48</v>
      </c>
      <c r="E29" s="18"/>
      <c r="F29" s="16"/>
    </row>
    <row r="30" spans="2:9" ht="18" customHeight="1" x14ac:dyDescent="0.35">
      <c r="B30" s="89" t="s">
        <v>60</v>
      </c>
      <c r="C30" s="106">
        <f>C28*C27+C29*C25</f>
        <v>6.8429999999999991E-2</v>
      </c>
      <c r="E30" s="20"/>
      <c r="F30" s="16"/>
    </row>
    <row r="32" spans="2:9" ht="20" customHeight="1" x14ac:dyDescent="0.35">
      <c r="B32" s="41" t="s">
        <v>91</v>
      </c>
      <c r="C32" s="23"/>
    </row>
    <row r="33" spans="2:6" ht="4" customHeight="1" x14ac:dyDescent="0.35">
      <c r="B33" s="21"/>
    </row>
    <row r="34" spans="2:6" ht="18" customHeight="1" x14ac:dyDescent="0.35">
      <c r="B34" s="90" t="s">
        <v>92</v>
      </c>
      <c r="C34" s="22"/>
    </row>
    <row r="35" spans="2:6" ht="18" customHeight="1" x14ac:dyDescent="0.35">
      <c r="B35" s="58" t="s">
        <v>223</v>
      </c>
      <c r="C35" s="91">
        <f>H10</f>
        <v>3.7023604068850346</v>
      </c>
      <c r="E35" s="24"/>
    </row>
    <row r="36" spans="2:6" ht="18" customHeight="1" x14ac:dyDescent="0.35">
      <c r="B36" s="58" t="s">
        <v>62</v>
      </c>
      <c r="C36" s="111">
        <f>Assumptions!C42</f>
        <v>6.5</v>
      </c>
      <c r="E36" s="24"/>
    </row>
    <row r="37" spans="2:6" ht="18" customHeight="1" x14ac:dyDescent="0.35">
      <c r="B37" s="58" t="s">
        <v>224</v>
      </c>
      <c r="C37" s="112">
        <f>C35*C36</f>
        <v>24.065342644752725</v>
      </c>
      <c r="E37" s="25"/>
    </row>
    <row r="38" spans="2:6" ht="18" customHeight="1" x14ac:dyDescent="0.35">
      <c r="B38" s="58" t="s">
        <v>225</v>
      </c>
      <c r="C38" s="112">
        <f>C37/POWER(1+C30,5)</f>
        <v>17.284693391543613</v>
      </c>
      <c r="E38" s="26"/>
    </row>
    <row r="39" spans="2:6" ht="18" customHeight="1" x14ac:dyDescent="0.35">
      <c r="B39" s="58" t="s">
        <v>226</v>
      </c>
      <c r="C39" s="112">
        <f>D19/POWER(1+C30,1)+E19/POWER(1+C30,2)+F19/POWER(1+C30,3)+G19/POWER(1+C30,4)+H19/POWER(1+C30,5)</f>
        <v>8.5772449048950357</v>
      </c>
      <c r="E39" s="27"/>
    </row>
    <row r="40" spans="2:6" ht="18" customHeight="1" x14ac:dyDescent="0.35">
      <c r="B40" s="57" t="s">
        <v>227</v>
      </c>
      <c r="C40" s="113">
        <f>C38+C39</f>
        <v>25.861938296438648</v>
      </c>
      <c r="E40" s="26"/>
    </row>
    <row r="41" spans="2:6" ht="18" customHeight="1" x14ac:dyDescent="0.35">
      <c r="B41" s="58" t="s">
        <v>228</v>
      </c>
      <c r="C41" s="92">
        <f>Assumptions!C47</f>
        <v>10.1</v>
      </c>
      <c r="E41" s="27"/>
    </row>
    <row r="42" spans="2:6" ht="18" customHeight="1" x14ac:dyDescent="0.35">
      <c r="B42" s="58" t="s">
        <v>229</v>
      </c>
      <c r="C42" s="92">
        <f>Assumptions!C48</f>
        <v>0.3</v>
      </c>
      <c r="E42" s="26"/>
    </row>
    <row r="43" spans="2:6" ht="18" customHeight="1" x14ac:dyDescent="0.35">
      <c r="B43" s="58" t="s">
        <v>230</v>
      </c>
      <c r="C43" s="112">
        <f>C40-C41-C42</f>
        <v>15.461938296438648</v>
      </c>
      <c r="E43" s="28"/>
    </row>
    <row r="44" spans="2:6" ht="18" customHeight="1" x14ac:dyDescent="0.35">
      <c r="B44" s="58" t="s">
        <v>211</v>
      </c>
      <c r="C44" s="93">
        <f>Assumptions!C46</f>
        <v>0.86199999999999999</v>
      </c>
      <c r="F44" s="34"/>
    </row>
    <row r="45" spans="2:6" ht="18" customHeight="1" x14ac:dyDescent="0.35">
      <c r="B45" s="57" t="s">
        <v>174</v>
      </c>
      <c r="C45" s="114">
        <f>C43/C44</f>
        <v>17.937283406541354</v>
      </c>
      <c r="F45" s="35"/>
    </row>
    <row r="46" spans="2:6" ht="4" customHeight="1" x14ac:dyDescent="0.35">
      <c r="F46" s="31"/>
    </row>
    <row r="47" spans="2:6" ht="18" customHeight="1" x14ac:dyDescent="0.35">
      <c r="B47" s="90" t="s">
        <v>231</v>
      </c>
      <c r="C47" s="22"/>
      <c r="F47" s="31"/>
    </row>
    <row r="48" spans="2:6" ht="18" customHeight="1" x14ac:dyDescent="0.35">
      <c r="B48" s="58" t="s">
        <v>232</v>
      </c>
      <c r="C48" s="91">
        <f>H19</f>
        <v>2.0642703051637761</v>
      </c>
      <c r="F48" s="29"/>
    </row>
    <row r="49" spans="2:15" ht="18" customHeight="1" x14ac:dyDescent="0.35">
      <c r="B49" s="58" t="s">
        <v>233</v>
      </c>
      <c r="C49" s="86">
        <f>Assumptions!C43</f>
        <v>0.01</v>
      </c>
      <c r="F49" s="30"/>
    </row>
    <row r="50" spans="2:15" ht="18" customHeight="1" x14ac:dyDescent="0.35">
      <c r="B50" s="58" t="s">
        <v>224</v>
      </c>
      <c r="C50" s="112">
        <f>C48*(1+C49)/(C30-C49)</f>
        <v>35.682235293777417</v>
      </c>
      <c r="F50" s="30"/>
    </row>
    <row r="51" spans="2:15" ht="18" customHeight="1" x14ac:dyDescent="0.35">
      <c r="B51" s="58" t="s">
        <v>225</v>
      </c>
      <c r="C51" s="112">
        <f>C50/POWER(1+C30,5)</f>
        <v>25.628411183762559</v>
      </c>
      <c r="F51" s="31"/>
    </row>
    <row r="52" spans="2:15" ht="18" customHeight="1" x14ac:dyDescent="0.35">
      <c r="B52" s="58" t="s">
        <v>226</v>
      </c>
      <c r="C52" s="112">
        <f>C39</f>
        <v>8.5772449048950357</v>
      </c>
      <c r="F52" s="32"/>
    </row>
    <row r="53" spans="2:15" ht="18" customHeight="1" x14ac:dyDescent="0.35">
      <c r="B53" s="57" t="s">
        <v>227</v>
      </c>
      <c r="C53" s="113">
        <f>C51+C52</f>
        <v>34.205656088657591</v>
      </c>
      <c r="F53" s="33"/>
    </row>
    <row r="54" spans="2:15" ht="18" customHeight="1" x14ac:dyDescent="0.35">
      <c r="B54" s="58" t="s">
        <v>230</v>
      </c>
      <c r="C54" s="112">
        <f>C53-C41-C42</f>
        <v>23.805656088657589</v>
      </c>
    </row>
    <row r="55" spans="2:15" ht="18" customHeight="1" x14ac:dyDescent="0.35">
      <c r="B55" s="57" t="s">
        <v>175</v>
      </c>
      <c r="C55" s="115">
        <f>C54/C44</f>
        <v>27.616770404475162</v>
      </c>
    </row>
    <row r="57" spans="2:15" ht="20" customHeight="1" x14ac:dyDescent="0.35">
      <c r="B57" s="41" t="s">
        <v>234</v>
      </c>
      <c r="C57" s="6"/>
      <c r="D57" s="6"/>
      <c r="E57" s="6"/>
      <c r="F57" s="6"/>
      <c r="G57" s="6"/>
    </row>
    <row r="58" spans="2:15" ht="4" customHeight="1" x14ac:dyDescent="0.35">
      <c r="B58" s="21"/>
    </row>
    <row r="59" spans="2:15" ht="20" customHeight="1" x14ac:dyDescent="0.35">
      <c r="B59" s="42" t="s">
        <v>235</v>
      </c>
      <c r="C59" s="9"/>
      <c r="D59" s="9"/>
      <c r="E59" s="9"/>
      <c r="F59" s="9"/>
      <c r="G59" s="10"/>
    </row>
    <row r="60" spans="2:15" ht="20" customHeight="1" x14ac:dyDescent="0.35">
      <c r="B60" s="55" t="s">
        <v>93</v>
      </c>
      <c r="C60" s="55" t="s">
        <v>94</v>
      </c>
      <c r="D60" s="55" t="s">
        <v>95</v>
      </c>
      <c r="E60" s="55" t="s">
        <v>96</v>
      </c>
      <c r="F60" s="55" t="s">
        <v>97</v>
      </c>
      <c r="G60" s="55" t="s">
        <v>98</v>
      </c>
      <c r="J60" s="96"/>
      <c r="K60" s="96"/>
      <c r="L60" s="96"/>
      <c r="M60" s="96"/>
      <c r="N60" s="96"/>
      <c r="O60" s="96"/>
    </row>
    <row r="61" spans="2:15" ht="20" customHeight="1" x14ac:dyDescent="0.35">
      <c r="B61" s="94" t="s">
        <v>181</v>
      </c>
      <c r="C61" s="116">
        <f>(D19/POWER(1+C30,1)+E19/POWER(1+C30,2)+F19/POWER(1+C30,3)+G19/POWER(1+C30,4)+H19/POWER(1+C30,5)+(H10*VALUE(LEFT(C60,LEN(C60)-1)))/POWER(1+C30,5)-C41-C42)/C44</f>
        <v>13.309933756833086</v>
      </c>
      <c r="D61" s="74">
        <f>(D19/POWER(1+C30,1)+E19/POWER(1+C30,2)+F19/POWER(1+C30,3)+G19/POWER(1+C30,4)+H19/POWER(1+C30,5)+(H10*VALUE(LEFT(D60,LEN(D60)-1)))/POWER(1+C30,5)-C41-C42)/C44</f>
        <v>16.394833523305262</v>
      </c>
      <c r="E61" s="74">
        <f>(D19/POWER(1+C30,1)+E19/POWER(1+C30,2)+F19/POWER(1+C30,3)+G19/POWER(1+C30,4)+H19/POWER(1+C30,5)+(H10*VALUE(LEFT(E60,LEN(E60)-1)))/POWER(1+C30,5)-C41-C42)/C44</f>
        <v>17.937283406541354</v>
      </c>
      <c r="F61" s="74">
        <f>(D19/POWER(1+C30,1)+E19/POWER(1+C30,2)+F19/POWER(1+C30,3)+G19/POWER(1+C30,4)+H19/POWER(1+C30,5)+(H10*VALUE(LEFT(F60,LEN(F60)-1)))/POWER(1+C30,5)-C41-C42)/C44</f>
        <v>19.479733289777446</v>
      </c>
      <c r="G61" s="74">
        <f>(D19/POWER(1+C30,1)+E19/POWER(1+C30,2)+F19/POWER(1+C30,3)+G19/POWER(1+C30,4)+H19/POWER(1+C30,5)+(H10*VALUE(LEFT(G60,LEN(G60)-1)))/POWER(1+C30,5)-C41-C42)/C44</f>
        <v>22.564633056249622</v>
      </c>
      <c r="J61" s="96"/>
      <c r="K61" s="96"/>
      <c r="L61" s="96"/>
      <c r="M61" s="96"/>
      <c r="N61" s="96"/>
      <c r="O61" s="96"/>
    </row>
    <row r="62" spans="2:15" ht="16" customHeight="1" x14ac:dyDescent="0.35">
      <c r="B62" s="94" t="s">
        <v>99</v>
      </c>
      <c r="C62" s="116">
        <f>(D19/POWER(1+0.08,1)+E19/POWER(1+0.08,2)+F19/POWER(1+0.08,3)+G19/POWER(1+0.08,4)+H19/POWER(1+0.08,5)+(H10*VALUE(LEFT(C60,LEN(C60)-1)))/POWER(1+0.08,5)-C41-C42)/C44</f>
        <v>12.201534036473092</v>
      </c>
      <c r="D62" s="74">
        <f>(D19/POWER(1+0.08,1)+E19/POWER(1+0.08,2)+F19/POWER(1+0.08,3)+G19/POWER(1+0.08,4)+H19/POWER(1+0.08,5)+(H10*VALUE(LEFT(D60,LEN(D60)-1)))/POWER(1+0.08,5)-C41-C42)/C44</f>
        <v>15.12469445676196</v>
      </c>
      <c r="E62" s="74">
        <f>(D19/POWER(1+0.08,1)+E19/POWER(1+0.08,2)+F19/POWER(1+0.08,3)+G19/POWER(1+0.08,4)+H19/POWER(1+0.08,5)+(H10*VALUE(LEFT(E60,LEN(E60)-1)))/POWER(1+0.08,5)-C41-C42)/C44</f>
        <v>16.586274666906391</v>
      </c>
      <c r="F62" s="74">
        <f>(D19/POWER(1+0.08,1)+E19/POWER(1+0.08,2)+F19/POWER(1+0.08,3)+G19/POWER(1+0.08,4)+H19/POWER(1+0.08,5)+(H10*VALUE(LEFT(F60,LEN(F60)-1)))/POWER(1+0.08,5)-C41-C42)/C44</f>
        <v>18.047854877050824</v>
      </c>
      <c r="G62" s="74">
        <f>(D19/POWER(1+0.08,1)+E19/POWER(1+0.08,2)+F19/POWER(1+0.08,3)+G19/POWER(1+0.08,4)+H19/POWER(1+0.08,5)+(H10*VALUE(LEFT(G60,LEN(G60)-1)))/POWER(1+0.08,5)-C41-C42)/C44</f>
        <v>20.97101529733969</v>
      </c>
      <c r="J62" s="96"/>
      <c r="K62" s="97"/>
      <c r="L62" s="98"/>
      <c r="M62" s="98"/>
      <c r="N62" s="98"/>
      <c r="O62" s="98"/>
    </row>
    <row r="63" spans="2:15" ht="16" customHeight="1" x14ac:dyDescent="0.35">
      <c r="B63" s="95" t="s">
        <v>100</v>
      </c>
      <c r="C63" s="76">
        <f>(D19/POWER(1+0.09,1)+E19/POWER(1+0.09,2)+F19/POWER(1+0.09,3)+G19/POWER(1+0.09,4)+H19/POWER(1+0.09,5)+(H10*VALUE(LEFT(C60,LEN(C60)-1)))/POWER(1+0.09,5)-C41-C42)/C44</f>
        <v>11.29571902248273</v>
      </c>
      <c r="D63" s="117">
        <f>(D19/POWER(1+0.09,1)+E19/POWER(1+0.09,2)+F19/POWER(1+0.09,3)+G19/POWER(1+0.09,4)+H19/POWER(1+0.09,5)+(H10*VALUE(LEFT(D60,LEN(D60)-1)))/POWER(1+0.09,5)-C41-C42)/C44</f>
        <v>14.087227412068458</v>
      </c>
      <c r="E63" s="117">
        <f>(D19/POWER(1+0.09,1)+E19/POWER(1+0.09,2)+F19/POWER(1+0.09,3)+G19/POWER(1+0.09,4)+H19/POWER(1+0.09,5)+(H10*VALUE(LEFT(E60,LEN(E60)-1)))/POWER(1+0.09,5)-C41-C42)/C44</f>
        <v>15.482981606861317</v>
      </c>
      <c r="F63" s="117">
        <f>(D19/POWER(1+0.09,1)+E19/POWER(1+0.09,2)+F19/POWER(1+0.09,3)+G19/POWER(1+0.09,4)+H19/POWER(1+0.09,5)+(H10*VALUE(LEFT(F60,LEN(F60)-1)))/POWER(1+0.09,5)-C41-C42)/C44</f>
        <v>16.878735801654187</v>
      </c>
      <c r="G63" s="117">
        <f>(D19/POWER(1+0.09,1)+E19/POWER(1+0.09,2)+F19/POWER(1+0.09,3)+G19/POWER(1+0.09,4)+H19/POWER(1+0.09,5)+(H10*VALUE(LEFT(G60,LEN(G60)-1)))/POWER(1+0.09,5)-C41-C42)/C44</f>
        <v>19.670244191239913</v>
      </c>
      <c r="J63" s="96"/>
      <c r="K63" s="97"/>
      <c r="L63" s="98"/>
      <c r="M63" s="98"/>
      <c r="N63" s="98"/>
      <c r="O63" s="98"/>
    </row>
    <row r="64" spans="2:15" ht="16" customHeight="1" x14ac:dyDescent="0.35">
      <c r="B64" s="94" t="s">
        <v>101</v>
      </c>
      <c r="C64" s="116">
        <f>(D19/POWER(1+0.1,1)+E19/POWER(1+0.1,2)+F19/POWER(1+0.1,3)+G19/POWER(1+0.1,4)+H19/POWER(1+0.1,5)+(H10*VALUE(LEFT(C60,LEN(C60)-1)))/POWER(1+0.1,5)-C41-C42)/C44</f>
        <v>10.435213337160137</v>
      </c>
      <c r="D64" s="74">
        <f>(D19/POWER(1+0.1,1)+E19/POWER(1+0.1,2)+F19/POWER(1+0.1,3)+G19/POWER(1+0.1,4)+H19/POWER(1+0.1,5)+(H10*VALUE(LEFT(D60,LEN(D60)-1)))/POWER(1+0.1,5)-C41-C42)/C44</f>
        <v>13.102121135634484</v>
      </c>
      <c r="E64" s="74">
        <f>(D19/POWER(1+0.1,1)+E19/POWER(1+0.1,2)+F19/POWER(1+0.1,3)+G19/POWER(1+0.1,4)+H19/POWER(1+0.1,5)+(H10*VALUE(LEFT(E60,LEN(E60)-1)))/POWER(1+0.1,5)-C41-C42)/C44</f>
        <v>14.435575034871656</v>
      </c>
      <c r="F64" s="74">
        <f>(D19/POWER(1+0.1,1)+E19/POWER(1+0.1,2)+F19/POWER(1+0.1,3)+G19/POWER(1+0.1,4)+H19/POWER(1+0.1,5)+(H10*VALUE(LEFT(F60,LEN(F60)-1)))/POWER(1+0.1,5)-C41-C42)/C44</f>
        <v>15.769028934108832</v>
      </c>
      <c r="G64" s="74">
        <f>(D19/POWER(1+0.1,1)+E19/POWER(1+0.1,2)+F19/POWER(1+0.1,3)+G19/POWER(1+0.1,4)+H19/POWER(1+0.1,5)+(H10*VALUE(LEFT(G60,LEN(G60)-1)))/POWER(1+0.1,5)-C41-C42)/C44</f>
        <v>18.43593673258318</v>
      </c>
      <c r="J64" s="96"/>
      <c r="K64" s="97"/>
      <c r="L64" s="98"/>
      <c r="M64" s="98"/>
      <c r="N64" s="98"/>
      <c r="O64" s="98"/>
    </row>
    <row r="65" spans="2:15" ht="16" customHeight="1" x14ac:dyDescent="0.35">
      <c r="B65" s="94" t="s">
        <v>102</v>
      </c>
      <c r="C65" s="74">
        <f>(D19/POWER(1+0.11,1)+E19/POWER(1+0.11,2)+F19/POWER(1+0.11,3)+G19/POWER(1+0.11,4)+H19/POWER(1+0.11,5)+(H10*VALUE(LEFT(C60,LEN(C60)-1)))/POWER(1+0.11,5)-C41-C42)/C44</f>
        <v>9.6173077309413095</v>
      </c>
      <c r="D65" s="116">
        <f>(D19/POWER(1+0.11,1)+E19/POWER(1+0.11,2)+F19/POWER(1+0.11,3)+G19/POWER(1+0.11,4)+H19/POWER(1+0.11,5)+(H10*VALUE(LEFT(D60,LEN(D60)-1)))/POWER(1+0.11,5)-C41-C42)/C44</f>
        <v>12.166229657179533</v>
      </c>
      <c r="E65" s="74">
        <f>(D19/POWER(1+0.11,1)+E19/POWER(1+0.11,2)+F19/POWER(1+0.11,3)+G19/POWER(1+0.11,4)+H19/POWER(1+0.11,5)+(H10*VALUE(LEFT(E60,LEN(E60)-1)))/POWER(1+0.11,5)-C41-C42)/C44</f>
        <v>13.440690620298648</v>
      </c>
      <c r="F65" s="74">
        <f>(D19/POWER(1+0.11,1)+E19/POWER(1+0.11,2)+F19/POWER(1+0.11,3)+G19/POWER(1+0.11,4)+H19/POWER(1+0.11,5)+(H10*VALUE(LEFT(F60,LEN(F60)-1)))/POWER(1+0.11,5)-C41-C42)/C44</f>
        <v>14.715151583417761</v>
      </c>
      <c r="G65" s="74">
        <f>(D19/POWER(1+0.11,1)+E19/POWER(1+0.11,2)+F19/POWER(1+0.11,3)+G19/POWER(1+0.11,4)+H19/POWER(1+0.11,5)+(H10*VALUE(LEFT(G60,LEN(G60)-1)))/POWER(1+0.11,5)-C41-C42)/C44</f>
        <v>17.264073509655979</v>
      </c>
      <c r="J65" s="96"/>
      <c r="K65" s="98"/>
      <c r="L65" s="97"/>
      <c r="M65" s="98"/>
      <c r="N65" s="98"/>
      <c r="O65" s="98"/>
    </row>
    <row r="66" spans="2:15" ht="16" customHeight="1" x14ac:dyDescent="0.35">
      <c r="B66" s="95" t="s">
        <v>103</v>
      </c>
      <c r="C66" s="117">
        <f>(D19/POWER(1+0.12,1)+E19/POWER(1+0.12,2)+F19/POWER(1+0.12,3)+G19/POWER(1+0.12,4)+H19/POWER(1+0.12,5)+(H10*VALUE(LEFT(C60,LEN(C60)-1)))/POWER(1+0.12,5)-C41-C42)/C44</f>
        <v>8.8394790172858606</v>
      </c>
      <c r="D66" s="76">
        <f>(D19/POWER(1+0.12,1)+E19/POWER(1+0.12,2)+F19/POWER(1+0.12,3)+G19/POWER(1+0.12,4)+H19/POWER(1+0.12,5)+(H10*VALUE(LEFT(D60,LEN(D60)-1)))/POWER(1+0.12,5)-C41-C42)/C44</f>
        <v>11.276623709183546</v>
      </c>
      <c r="E66" s="76">
        <f>(D19/POWER(1+0.12,1)+E19/POWER(1+0.12,2)+F19/POWER(1+0.12,3)+G19/POWER(1+0.12,4)+H19/POWER(1+0.12,5)+(H10*VALUE(LEFT(E60,LEN(E60)-1)))/POWER(1+0.12,5)-C41-C42)/C44</f>
        <v>12.495196055132391</v>
      </c>
      <c r="F66" s="117">
        <f>(D19/POWER(1+0.12,1)+E19/POWER(1+0.12,2)+F19/POWER(1+0.12,3)+G19/POWER(1+0.12,4)+H19/POWER(1+0.12,5)+(H10*VALUE(LEFT(F60,LEN(F60)-1)))/POWER(1+0.12,5)-C41-C42)/C44</f>
        <v>13.713768401081236</v>
      </c>
      <c r="G66" s="117">
        <f>(D19/POWER(1+0.12,1)+E19/POWER(1+0.12,2)+F19/POWER(1+0.12,3)+G19/POWER(1+0.12,4)+H19/POWER(1+0.12,5)+(H10*VALUE(LEFT(G60,LEN(G60)-1)))/POWER(1+0.12,5)-C41-C42)/C44</f>
        <v>16.150913092978929</v>
      </c>
      <c r="J66" s="96"/>
      <c r="K66" s="98"/>
      <c r="L66" s="97"/>
      <c r="M66" s="97"/>
      <c r="N66" s="98"/>
      <c r="O66" s="98"/>
    </row>
    <row r="67" spans="2:15" x14ac:dyDescent="0.35">
      <c r="B67" s="7" t="s">
        <v>236</v>
      </c>
    </row>
    <row r="69" spans="2:15" ht="20" customHeight="1" x14ac:dyDescent="0.35">
      <c r="B69" s="42" t="s">
        <v>237</v>
      </c>
      <c r="C69" s="9"/>
      <c r="D69" s="9"/>
      <c r="E69" s="9"/>
      <c r="F69" s="9"/>
      <c r="G69" s="10"/>
    </row>
    <row r="70" spans="2:15" ht="20" customHeight="1" x14ac:dyDescent="0.35"/>
    <row r="71" spans="2:15" ht="18" customHeight="1" x14ac:dyDescent="0.35">
      <c r="B71" s="55" t="s">
        <v>104</v>
      </c>
      <c r="C71" s="55" t="s">
        <v>105</v>
      </c>
      <c r="D71" s="55" t="s">
        <v>106</v>
      </c>
      <c r="E71" s="55" t="s">
        <v>107</v>
      </c>
      <c r="F71" s="55" t="s">
        <v>108</v>
      </c>
      <c r="G71" s="55" t="s">
        <v>109</v>
      </c>
      <c r="J71" s="96"/>
      <c r="K71" s="96"/>
      <c r="L71" s="96"/>
      <c r="M71" s="96"/>
      <c r="N71" s="96"/>
      <c r="O71" s="96"/>
    </row>
    <row r="72" spans="2:15" ht="18" customHeight="1" x14ac:dyDescent="0.35">
      <c r="B72" s="95" t="s">
        <v>181</v>
      </c>
      <c r="C72" s="117">
        <f>(D19/POWER(1+C30,1)+E19/POWER(1+C30,2)+F19/POWER(1+C30,3)+G19/POWER(1+C30,4)+H19/POWER(1+C30,5)+(H19*(1+VALUE(LEFT(C71,LEN(C71)-1))/100)/(C30-VALUE(LEFT(C71,LEN(C71)-1))/100))/POWER(1+C30,5)-C41-C42)/C44</f>
        <v>23.02063751057338</v>
      </c>
      <c r="D72" s="117">
        <f>(D19/POWER(1+C30,1)+E19/POWER(1+C30,2)+F19/POWER(1+C30,3)+G19/POWER(1+C30,4)+H19/POWER(1+C30,5)+(H19*(1+VALUE(LEFT(D71,LEN(D71)-1))/100)/(C30-VALUE(LEFT(D71,LEN(D71)-1))/100))/POWER(1+C30,5)-C41-C42)/C44</f>
        <v>25.137554150890896</v>
      </c>
      <c r="E72" s="117">
        <f>(D19/POWER(1+C30,1)+E19/POWER(1+C30,2)+F19/POWER(1+C30,3)+G19/POWER(1+C30,4)+H19/POWER(1+C30,5)+(H19*(1+VALUE(LEFT(E71,LEN(E71)-1))/100)/(C30-VALUE(LEFT(E71,LEN(E71)-1))/100))/POWER(1+C30,5)-C41-C42)/C44</f>
        <v>27.616770404475162</v>
      </c>
      <c r="F72" s="117">
        <f>(D19/POWER(1+C30,1)+E19/POWER(1+C30,2)+F19/POWER(1+C30,3)+G19/POWER(1+C30,4)+H19/POWER(1+C30,5)+(H19*(1+VALUE(LEFT(F71,LEN(F71)-1))/100)/(C30-VALUE(LEFT(F71,LEN(F71)-1))/100))/POWER(1+C30,5)-C41-C42)/C44</f>
        <v>30.559998683809781</v>
      </c>
      <c r="G72" s="117">
        <f>(D19/POWER(1+C30,1)+E19/POWER(1+C30,2)+F19/POWER(1+C30,3)+G19/POWER(1+C30,4)+H19/POWER(1+C30,5)+(H19*(1+VALUE(LEFT(G71,LEN(G71)-1))/100)/(C30-VALUE(LEFT(G71,LEN(G71)-1))/100))/POWER(1+C30,5)-C41-C42)/C44</f>
        <v>34.110955288425174</v>
      </c>
      <c r="J72" s="96"/>
      <c r="K72" s="96"/>
      <c r="L72" s="96"/>
      <c r="M72" s="96"/>
      <c r="N72" s="96"/>
      <c r="O72" s="96"/>
    </row>
    <row r="73" spans="2:15" ht="16" customHeight="1" x14ac:dyDescent="0.35">
      <c r="B73" s="94" t="s">
        <v>99</v>
      </c>
      <c r="C73" s="74">
        <f>(D19/POWER(1+0.08,1)+E19/POWER(1+0.08,2)+F19/POWER(1+0.08,3)+G19/POWER(1+0.08,4)+H19/POWER(1+0.08,5)+(H19*(1+VALUE(LEFT(C71,LEN(C71)-1))/100)/(0.08-VALUE(LEFT(C71,LEN(C71)-1))/100))/POWER(1+0.08,5)-C41-C42)/C44</f>
        <v>17.958523173865814</v>
      </c>
      <c r="D73" s="74">
        <f>(D19/POWER(1+0.08,1)+E19/POWER(1+0.08,2)+F19/POWER(1+0.08,3)+G19/POWER(1+0.08,4)+H19/POWER(1+0.08,5)+(H19*(1+VALUE(LEFT(D71,LEN(D71)-1))/100)/(0.08-VALUE(LEFT(D71,LEN(D71)-1))/100))/POWER(1+0.08,5)-C41-C42)/C44</f>
        <v>19.425364143062083</v>
      </c>
      <c r="E73" s="74">
        <f>(D19/POWER(1+0.08,1)+E19/POWER(1+0.08,2)+F19/POWER(1+0.08,3)+G19/POWER(1+0.08,4)+H19/POWER(1+0.08,5)+(H19*(1+VALUE(LEFT(E71,LEN(E71)-1))/100)/(0.08-VALUE(LEFT(E71,LEN(E71)-1))/100))/POWER(1+0.08,5)-C41-C42)/C44</f>
        <v>21.101753822143529</v>
      </c>
      <c r="F73" s="74">
        <f>(D19/POWER(1+0.08,1)+E19/POWER(1+0.08,2)+F19/POWER(1+0.08,3)+G19/POWER(1+0.08,4)+H19/POWER(1+0.08,5)+(H19*(1+VALUE(LEFT(F71,LEN(F71)-1))/100)/(0.08-VALUE(LEFT(F71,LEN(F71)-1))/100))/POWER(1+0.08,5)-C41-C42)/C44</f>
        <v>23.036049605699048</v>
      </c>
      <c r="G73" s="74">
        <f>(D19/POWER(1+0.08,1)+E19/POWER(1+0.08,2)+F19/POWER(1+0.08,3)+G19/POWER(1+0.08,4)+H19/POWER(1+0.08,5)+(H19*(1+VALUE(LEFT(G71,LEN(G71)-1))/100)/(0.08-VALUE(LEFT(G71,LEN(G71)-1))/100))/POWER(1+0.08,5)-C41-C42)/C44</f>
        <v>25.292728019847157</v>
      </c>
      <c r="J73" s="96"/>
      <c r="K73" s="98"/>
      <c r="L73" s="98"/>
      <c r="M73" s="98"/>
      <c r="N73" s="98"/>
      <c r="O73" s="98"/>
    </row>
    <row r="74" spans="2:15" ht="16" customHeight="1" x14ac:dyDescent="0.35">
      <c r="B74" s="95" t="s">
        <v>100</v>
      </c>
      <c r="C74" s="117">
        <f>(D19/POWER(1+0.09,1)+E19/POWER(1+0.09,2)+F19/POWER(1+0.09,3)+G19/POWER(1+0.09,4)+H19/POWER(1+0.09,5)+(H19*(1+VALUE(LEFT(C71,LEN(C71)-1))/100)/(0.09-VALUE(LEFT(C71,LEN(C71)-1))/100))/POWER(1+0.09,5)-C41-C42)/C44</f>
        <v>14.631732902468524</v>
      </c>
      <c r="D74" s="117">
        <f>(D19/POWER(1+0.09,1)+E19/POWER(1+0.09,2)+F19/POWER(1+0.09,3)+G19/POWER(1+0.09,4)+H19/POWER(1+0.09,5)+(H19*(1+VALUE(LEFT(D71,LEN(D71)-1))/100)/(0.09-VALUE(LEFT(D71,LEN(D71)-1))/100))/POWER(1+0.09,5)-C41-C42)/C44</f>
        <v>15.7405550114348</v>
      </c>
      <c r="E74" s="117">
        <f>(D19/POWER(1+0.09,1)+E19/POWER(1+0.09,2)+F19/POWER(1+0.09,3)+G19/POWER(1+0.09,4)+H19/POWER(1+0.09,5)+(H19*(1+VALUE(LEFT(E71,LEN(E71)-1))/100)/(0.09-VALUE(LEFT(E71,LEN(E71)-1))/100))/POWER(1+0.09,5)-C41-C42)/C44</f>
        <v>16.987979884021865</v>
      </c>
      <c r="F74" s="117">
        <f>(D19/POWER(1+0.09,1)+E19/POWER(1+0.09,2)+F19/POWER(1+0.09,3)+G19/POWER(1+0.09,4)+H19/POWER(1+0.09,5)+(H19*(1+VALUE(LEFT(F71,LEN(F71)-1))/100)/(0.09-VALUE(LEFT(F71,LEN(F71)-1))/100))/POWER(1+0.09,5)-C41-C42)/C44</f>
        <v>18.401728072953865</v>
      </c>
      <c r="G74" s="117">
        <f>(D19/POWER(1+0.09,1)+E19/POWER(1+0.09,2)+F19/POWER(1+0.09,3)+G19/POWER(1+0.09,4)+H19/POWER(1+0.09,5)+(H19*(1+VALUE(LEFT(G71,LEN(G71)-1))/100)/(0.09-VALUE(LEFT(G71,LEN(G71)-1))/100))/POWER(1+0.09,5)-C41-C42)/C44</f>
        <v>20.017440288876166</v>
      </c>
      <c r="J74" s="96"/>
      <c r="K74" s="98"/>
      <c r="L74" s="98"/>
      <c r="M74" s="98"/>
      <c r="N74" s="98"/>
      <c r="O74" s="98"/>
    </row>
    <row r="75" spans="2:15" ht="16" customHeight="1" x14ac:dyDescent="0.35">
      <c r="B75" s="94" t="s">
        <v>101</v>
      </c>
      <c r="C75" s="116">
        <f>(D19/POWER(1+0.1,1)+E19/POWER(1+0.1,2)+F19/POWER(1+0.1,3)+G19/POWER(1+0.1,4)+H19/POWER(1+0.1,5)+(H19*(1+VALUE(LEFT(C71,LEN(C71)-1))/100)/(0.1-VALUE(LEFT(C71,LEN(C71)-1))/100))/POWER(1+0.1,5)-C41-C42)/C44</f>
        <v>11.970157512236401</v>
      </c>
      <c r="D75" s="116">
        <f>(D19/POWER(1+0.1,1)+E19/POWER(1+0.1,2)+F19/POWER(1+0.1,3)+G19/POWER(1+0.1,4)+H19/POWER(1+0.1,5)+(H19*(1+VALUE(LEFT(D71,LEN(D71)-1))/100)/(0.1-VALUE(LEFT(D71,LEN(D71)-1))/100))/POWER(1+0.1,5)-C41-C42)/C44</f>
        <v>12.831022327193914</v>
      </c>
      <c r="E75" s="74">
        <f>(D19/POWER(1+0.1,1)+E19/POWER(1+0.1,2)+F19/POWER(1+0.1,3)+G19/POWER(1+0.1,4)+H19/POWER(1+0.1,5)+(H19*(1+VALUE(LEFT(E71,LEN(E71)-1))/100)/(0.1-VALUE(LEFT(E71,LEN(E71)-1))/100))/POWER(1+0.1,5)-C41-C42)/C44</f>
        <v>13.787538788257821</v>
      </c>
      <c r="F75" s="74">
        <f>(D19/POWER(1+0.1,1)+E19/POWER(1+0.1,2)+F19/POWER(1+0.1,3)+G19/POWER(1+0.1,4)+H19/POWER(1+0.1,5)+(H19*(1+VALUE(LEFT(F71,LEN(F71)-1))/100)/(0.1-VALUE(LEFT(F71,LEN(F71)-1))/100))/POWER(1+0.1,5)-C41-C42)/C44</f>
        <v>14.856586597682185</v>
      </c>
      <c r="G75" s="74">
        <f>(D19/POWER(1+0.1,1)+E19/POWER(1+0.1,2)+F19/POWER(1+0.1,3)+G19/POWER(1+0.1,4)+H19/POWER(1+0.1,5)+(H19*(1+VALUE(LEFT(G71,LEN(G71)-1))/100)/(0.1-VALUE(LEFT(G71,LEN(G71)-1))/100))/POWER(1+0.1,5)-C41-C42)/C44</f>
        <v>16.0592653832846</v>
      </c>
      <c r="J75" s="96"/>
      <c r="K75" s="97"/>
      <c r="L75" s="97"/>
      <c r="M75" s="98"/>
      <c r="N75" s="98"/>
      <c r="O75" s="98"/>
    </row>
    <row r="76" spans="2:15" ht="16" customHeight="1" x14ac:dyDescent="0.35">
      <c r="B76" s="94" t="s">
        <v>102</v>
      </c>
      <c r="C76" s="74">
        <f>(D19/POWER(1+0.11,1)+E19/POWER(1+0.11,2)+F19/POWER(1+0.11,3)+G19/POWER(1+0.11,4)+H19/POWER(1+0.11,5)+(H19*(1+VALUE(LEFT(C71,LEN(C71)-1))/100)/(0.11-VALUE(LEFT(C71,LEN(C71)-1))/100))/POWER(1+0.11,5)-C41-C42)/C44</f>
        <v>9.7923770079055252</v>
      </c>
      <c r="D76" s="116">
        <f>(D19/POWER(1+0.11,1)+E19/POWER(1+0.11,2)+F19/POWER(1+0.11,3)+G19/POWER(1+0.11,4)+H19/POWER(1+0.11,5)+(H19*(1+VALUE(LEFT(D71,LEN(D71)-1))/100)/(0.11-VALUE(LEFT(D71,LEN(D71)-1))/100))/POWER(1+0.11,5)-C41-C42)/C44</f>
        <v>10.475274321622303</v>
      </c>
      <c r="E76" s="116">
        <f>(D19/POWER(1+0.11,1)+E19/POWER(1+0.11,2)+F19/POWER(1+0.11,3)+G19/POWER(1+0.11,4)+H19/POWER(1+0.11,5)+(H19*(1+VALUE(LEFT(E71,LEN(E71)-1))/100)/(0.11-VALUE(LEFT(E71,LEN(E71)-1))/100))/POWER(1+0.11,5)-C41-C42)/C44</f>
        <v>11.226461366710767</v>
      </c>
      <c r="F76" s="116">
        <f>(D19/POWER(1+0.11,1)+E19/POWER(1+0.11,2)+F19/POWER(1+0.11,3)+G19/POWER(1+0.11,4)+H19/POWER(1+0.11,5)+(H19*(1+VALUE(LEFT(F71,LEN(F71)-1))/100)/(0.11-VALUE(LEFT(F71,LEN(F71)-1))/100))/POWER(1+0.11,5)-C41-C42)/C44</f>
        <v>12.056720732334853</v>
      </c>
      <c r="G76" s="74">
        <f>(D19/POWER(1+0.11,1)+E19/POWER(1+0.11,2)+F19/POWER(1+0.11,3)+G19/POWER(1+0.11,4)+H19/POWER(1+0.11,5)+(H19*(1+VALUE(LEFT(G71,LEN(G71)-1))/100)/(0.11-VALUE(LEFT(G71,LEN(G71)-1))/100))/POWER(1+0.11,5)-C41-C42)/C44</f>
        <v>12.979231138583843</v>
      </c>
      <c r="J76" s="96"/>
      <c r="K76" s="98"/>
      <c r="L76" s="97"/>
      <c r="M76" s="97"/>
      <c r="N76" s="97"/>
      <c r="O76" s="98"/>
    </row>
    <row r="77" spans="2:15" ht="16" customHeight="1" x14ac:dyDescent="0.35">
      <c r="B77" s="95" t="s">
        <v>103</v>
      </c>
      <c r="C77" s="117">
        <f>(D19/POWER(1+0.12,1)+E19/POWER(1+0.12,2)+F19/POWER(1+0.12,3)+G19/POWER(1+0.12,4)+H19/POWER(1+0.12,5)+(H19*(1+VALUE(LEFT(C71,LEN(C71)-1))/100)/(0.12-VALUE(LEFT(C71,LEN(C71)-1))/100))/POWER(1+0.12,5)-C41-C42)/C44</f>
        <v>7.9774447361844425</v>
      </c>
      <c r="D77" s="117">
        <f>(D19/POWER(1+0.12,1)+E19/POWER(1+0.12,2)+F19/POWER(1+0.12,3)+G19/POWER(1+0.12,4)+H19/POWER(1+0.12,5)+(H19*(1+VALUE(LEFT(D71,LEN(D71)-1))/100)/(0.12-VALUE(LEFT(D71,LEN(D71)-1))/100))/POWER(1+0.12,5)-C41-C42)/C44</f>
        <v>8.5288591657406769</v>
      </c>
      <c r="E77" s="117">
        <f>(D19/POWER(1+0.12,1)+E19/POWER(1+0.12,2)+F19/POWER(1+0.12,3)+G19/POWER(1+0.12,4)+H19/POWER(1+0.12,5)+(H19*(1+VALUE(LEFT(E71,LEN(E71)-1))/100)/(0.12-VALUE(LEFT(E71,LEN(E71)-1))/100))/POWER(1+0.12,5)-C41-C42)/C44</f>
        <v>9.1304021798020312</v>
      </c>
      <c r="F77" s="117">
        <f>(D19/POWER(1+0.12,1)+E19/POWER(1+0.12,2)+F19/POWER(1+0.12,3)+G19/POWER(1+0.12,4)+H19/POWER(1+0.12,5)+(H19*(1+VALUE(LEFT(F71,LEN(F71)-1))/100)/(0.12-VALUE(LEFT(F71,LEN(F71)-1))/100))/POWER(1+0.12,5)-C41-C42)/C44</f>
        <v>9.789235004726363</v>
      </c>
      <c r="G77" s="76">
        <f>(D19/POWER(1+0.12,1)+E19/POWER(1+0.12,2)+F19/POWER(1+0.12,3)+G19/POWER(1+0.12,4)+H19/POWER(1+0.12,5)+(H19*(1+VALUE(LEFT(G71,LEN(G71)-1))/100)/(0.12-VALUE(LEFT(G71,LEN(G71)-1))/100))/POWER(1+0.12,5)-C41-C42)/C44</f>
        <v>10.51395111214314</v>
      </c>
      <c r="J77" s="96"/>
      <c r="K77" s="98"/>
      <c r="L77" s="98"/>
      <c r="M77" s="98"/>
      <c r="N77" s="98"/>
      <c r="O77" s="97"/>
    </row>
    <row r="78" spans="2:15" x14ac:dyDescent="0.35">
      <c r="B78" s="7" t="s">
        <v>238</v>
      </c>
    </row>
  </sheetData>
  <pageMargins left="0.75" right="0.75" top="1" bottom="1" header="0.5" footer="0.5"/>
  <ignoredErrors>
    <ignoredError sqref="B62:B6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28"/>
  <sheetViews>
    <sheetView showGridLines="0" topLeftCell="A15" zoomScaleNormal="100" workbookViewId="0"/>
  </sheetViews>
  <sheetFormatPr defaultRowHeight="14.5" x14ac:dyDescent="0.35"/>
  <cols>
    <col min="1" max="1" width="2.6328125" customWidth="1"/>
    <col min="2" max="2" width="23.90625" bestFit="1" customWidth="1"/>
    <col min="3" max="3" width="18.453125" bestFit="1" customWidth="1"/>
    <col min="4" max="4" width="17.26953125" bestFit="1" customWidth="1"/>
    <col min="5" max="5" width="22.6328125" bestFit="1" customWidth="1"/>
    <col min="6" max="6" width="18.08984375" bestFit="1" customWidth="1"/>
    <col min="7" max="7" width="12" customWidth="1"/>
    <col min="8" max="8" width="18.7265625" bestFit="1" customWidth="1"/>
    <col min="9" max="9" width="2" customWidth="1"/>
  </cols>
  <sheetData>
    <row r="2" spans="2:10" ht="26" customHeight="1" x14ac:dyDescent="0.35">
      <c r="B2" s="13" t="s">
        <v>239</v>
      </c>
      <c r="C2" s="13"/>
      <c r="D2" s="13"/>
      <c r="E2" s="13"/>
      <c r="F2" s="13"/>
      <c r="G2" s="13"/>
      <c r="H2" s="13"/>
    </row>
    <row r="3" spans="2:10" ht="4" customHeight="1" x14ac:dyDescent="0.35">
      <c r="B3" s="14"/>
      <c r="C3" s="14"/>
      <c r="D3" s="14"/>
      <c r="E3" s="14"/>
      <c r="F3" s="14"/>
      <c r="G3" s="14"/>
      <c r="H3" s="14"/>
    </row>
    <row r="4" spans="2:10" x14ac:dyDescent="0.35">
      <c r="B4" s="157" t="s">
        <v>185</v>
      </c>
    </row>
    <row r="6" spans="2:10" ht="20" customHeight="1" x14ac:dyDescent="0.35">
      <c r="B6" s="55" t="s">
        <v>110</v>
      </c>
      <c r="C6" s="55" t="s">
        <v>111</v>
      </c>
      <c r="D6" s="55" t="s">
        <v>249</v>
      </c>
      <c r="E6" s="55" t="s">
        <v>250</v>
      </c>
      <c r="F6" s="55" t="s">
        <v>227</v>
      </c>
      <c r="G6" s="55" t="s">
        <v>112</v>
      </c>
      <c r="H6" s="55" t="s">
        <v>113</v>
      </c>
    </row>
    <row r="7" spans="2:10" ht="18" customHeight="1" x14ac:dyDescent="0.35">
      <c r="B7" s="57" t="s">
        <v>114</v>
      </c>
      <c r="C7" s="143" t="s">
        <v>115</v>
      </c>
      <c r="D7" s="128">
        <v>372.8</v>
      </c>
      <c r="E7" s="128">
        <v>17.7</v>
      </c>
      <c r="F7" s="128">
        <v>110</v>
      </c>
      <c r="G7" s="135">
        <v>0.3</v>
      </c>
      <c r="H7" s="138">
        <v>6.2</v>
      </c>
      <c r="J7" s="142"/>
    </row>
    <row r="8" spans="2:10" ht="18" customHeight="1" x14ac:dyDescent="0.35">
      <c r="B8" s="57" t="s">
        <v>116</v>
      </c>
      <c r="C8" s="143" t="s">
        <v>117</v>
      </c>
      <c r="D8" s="128">
        <v>309</v>
      </c>
      <c r="E8" s="128">
        <v>6.7</v>
      </c>
      <c r="F8" s="128">
        <v>79.5</v>
      </c>
      <c r="G8" s="135">
        <v>0.26</v>
      </c>
      <c r="H8" s="138">
        <v>11.9</v>
      </c>
    </row>
    <row r="9" spans="2:10" ht="18" customHeight="1" x14ac:dyDescent="0.35">
      <c r="B9" s="57" t="s">
        <v>118</v>
      </c>
      <c r="C9" s="143" t="s">
        <v>119</v>
      </c>
      <c r="D9" s="128">
        <v>293.8</v>
      </c>
      <c r="E9" s="128">
        <v>5.0999999999999996</v>
      </c>
      <c r="F9" s="128">
        <v>55</v>
      </c>
      <c r="G9" s="135">
        <v>0.19</v>
      </c>
      <c r="H9" s="138">
        <v>10.8</v>
      </c>
    </row>
    <row r="10" spans="2:10" ht="18" customHeight="1" x14ac:dyDescent="0.35">
      <c r="B10" s="57" t="s">
        <v>120</v>
      </c>
      <c r="C10" s="143" t="s">
        <v>121</v>
      </c>
      <c r="D10" s="128">
        <v>222.4</v>
      </c>
      <c r="E10" s="128">
        <v>2.9</v>
      </c>
      <c r="F10" s="128">
        <v>25.5</v>
      </c>
      <c r="G10" s="135">
        <v>0.11</v>
      </c>
      <c r="H10" s="138">
        <v>8.8000000000000007</v>
      </c>
    </row>
    <row r="11" spans="2:10" ht="18" customHeight="1" x14ac:dyDescent="0.35">
      <c r="B11" s="60" t="s">
        <v>122</v>
      </c>
      <c r="C11" s="144" t="s">
        <v>123</v>
      </c>
      <c r="D11" s="133">
        <v>21.8</v>
      </c>
      <c r="E11" s="133">
        <v>0.5</v>
      </c>
      <c r="F11" s="133">
        <v>2.5</v>
      </c>
      <c r="G11" s="134">
        <v>0.11</v>
      </c>
      <c r="H11" s="139">
        <v>5</v>
      </c>
    </row>
    <row r="12" spans="2:10" ht="18" customHeight="1" x14ac:dyDescent="0.35">
      <c r="B12" s="62" t="s">
        <v>124</v>
      </c>
      <c r="C12" s="63"/>
      <c r="D12" s="63"/>
      <c r="E12" s="63"/>
      <c r="F12" s="63"/>
      <c r="G12" s="136">
        <v>0.11</v>
      </c>
      <c r="H12" s="140">
        <v>6.2</v>
      </c>
    </row>
    <row r="13" spans="2:10" ht="18" customHeight="1" x14ac:dyDescent="0.35">
      <c r="B13" s="62" t="s">
        <v>240</v>
      </c>
      <c r="C13" s="63"/>
      <c r="D13" s="63"/>
      <c r="E13" s="63"/>
      <c r="F13" s="63"/>
      <c r="G13" s="136">
        <v>0.17</v>
      </c>
      <c r="H13" s="140">
        <v>8.1</v>
      </c>
    </row>
    <row r="14" spans="2:10" ht="18" customHeight="1" x14ac:dyDescent="0.35">
      <c r="B14" s="64" t="s">
        <v>125</v>
      </c>
      <c r="C14" s="65"/>
      <c r="D14" s="65"/>
      <c r="E14" s="65"/>
      <c r="F14" s="65"/>
      <c r="G14" s="137">
        <v>0.22</v>
      </c>
      <c r="H14" s="141">
        <v>9.8000000000000007</v>
      </c>
    </row>
    <row r="15" spans="2:10" ht="18" customHeight="1" x14ac:dyDescent="0.35">
      <c r="B15" s="64" t="s">
        <v>126</v>
      </c>
      <c r="C15" s="65"/>
      <c r="D15" s="65"/>
      <c r="E15" s="65"/>
      <c r="F15" s="65"/>
      <c r="G15" s="137">
        <v>0.21</v>
      </c>
      <c r="H15" s="141">
        <v>9.4</v>
      </c>
    </row>
    <row r="16" spans="2:10" ht="18" customHeight="1" x14ac:dyDescent="0.35">
      <c r="B16" s="62" t="s">
        <v>241</v>
      </c>
      <c r="C16" s="63"/>
      <c r="D16" s="63"/>
      <c r="E16" s="63"/>
      <c r="F16" s="63"/>
      <c r="G16" s="136">
        <v>0.27</v>
      </c>
      <c r="H16" s="140">
        <v>11.1</v>
      </c>
    </row>
    <row r="17" spans="2:8" ht="18" customHeight="1" x14ac:dyDescent="0.35">
      <c r="B17" s="62" t="s">
        <v>127</v>
      </c>
      <c r="C17" s="63"/>
      <c r="D17" s="63"/>
      <c r="E17" s="63"/>
      <c r="F17" s="63"/>
      <c r="G17" s="136">
        <v>0.3</v>
      </c>
      <c r="H17" s="140">
        <v>11.9</v>
      </c>
    </row>
    <row r="19" spans="2:8" x14ac:dyDescent="0.35">
      <c r="B19" s="43" t="s">
        <v>242</v>
      </c>
    </row>
    <row r="21" spans="2:8" ht="20" customHeight="1" x14ac:dyDescent="0.35">
      <c r="B21" s="41" t="s">
        <v>243</v>
      </c>
      <c r="C21" s="6"/>
      <c r="D21" s="6"/>
      <c r="E21" s="6"/>
      <c r="F21" s="6"/>
      <c r="G21" s="6"/>
      <c r="H21" s="6"/>
    </row>
    <row r="22" spans="2:8" ht="16" customHeight="1" x14ac:dyDescent="0.35">
      <c r="B22" s="44" t="s">
        <v>244</v>
      </c>
      <c r="C22" s="9"/>
      <c r="D22" s="9"/>
      <c r="E22" s="9"/>
      <c r="F22" s="9"/>
      <c r="G22" s="9"/>
      <c r="H22" s="10"/>
    </row>
    <row r="23" spans="2:8" ht="20" customHeight="1" x14ac:dyDescent="0.35">
      <c r="B23" s="55" t="s">
        <v>128</v>
      </c>
      <c r="C23" s="55" t="s">
        <v>129</v>
      </c>
      <c r="D23" s="55" t="s">
        <v>251</v>
      </c>
      <c r="E23" s="55" t="s">
        <v>252</v>
      </c>
      <c r="F23" s="55" t="s">
        <v>230</v>
      </c>
      <c r="G23" s="55" t="s">
        <v>253</v>
      </c>
      <c r="H23" s="55" t="s">
        <v>130</v>
      </c>
    </row>
    <row r="24" spans="2:8" ht="18" customHeight="1" x14ac:dyDescent="0.35">
      <c r="B24" s="62" t="s">
        <v>245</v>
      </c>
      <c r="C24" s="118">
        <f>Assumptions!C51</f>
        <v>5</v>
      </c>
      <c r="D24" s="145">
        <f>C24*'WBA Financials'!F10</f>
        <v>19.5</v>
      </c>
      <c r="E24" s="145">
        <f>Assumptions!C47+Assumptions!C48</f>
        <v>10.4</v>
      </c>
      <c r="F24" s="73">
        <f>D24-E24</f>
        <v>9.1</v>
      </c>
      <c r="G24" s="146">
        <f>Assumptions!C46</f>
        <v>0.86199999999999999</v>
      </c>
      <c r="H24" s="74">
        <f>F24/G24</f>
        <v>10.556844547563804</v>
      </c>
    </row>
    <row r="25" spans="2:8" ht="18" customHeight="1" x14ac:dyDescent="0.35">
      <c r="B25" s="64" t="s">
        <v>246</v>
      </c>
      <c r="C25" s="119">
        <f>Assumptions!C52</f>
        <v>6.5</v>
      </c>
      <c r="D25" s="147">
        <f>C25*'WBA Financials'!F10</f>
        <v>25.349999999999998</v>
      </c>
      <c r="E25" s="147">
        <f>Assumptions!C47+Assumptions!C48</f>
        <v>10.4</v>
      </c>
      <c r="F25" s="75">
        <f>D25-E25</f>
        <v>14.949999999999998</v>
      </c>
      <c r="G25" s="148">
        <f>Assumptions!C46</f>
        <v>0.86199999999999999</v>
      </c>
      <c r="H25" s="76">
        <f>F25/G25</f>
        <v>17.343387470997676</v>
      </c>
    </row>
    <row r="26" spans="2:8" ht="18" customHeight="1" x14ac:dyDescent="0.35">
      <c r="B26" s="62" t="s">
        <v>247</v>
      </c>
      <c r="C26" s="118">
        <f>Assumptions!C53</f>
        <v>8.5</v>
      </c>
      <c r="D26" s="145">
        <f>C26*'WBA Financials'!F10</f>
        <v>33.15</v>
      </c>
      <c r="E26" s="145">
        <f>Assumptions!C47+Assumptions!C48</f>
        <v>10.4</v>
      </c>
      <c r="F26" s="73">
        <f>D26-E26</f>
        <v>22.75</v>
      </c>
      <c r="G26" s="146">
        <f>Assumptions!C46</f>
        <v>0.86199999999999999</v>
      </c>
      <c r="H26" s="74">
        <f>F26/G26</f>
        <v>26.392111368909514</v>
      </c>
    </row>
    <row r="28" spans="2:8" x14ac:dyDescent="0.35">
      <c r="B28" s="43" t="s">
        <v>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32"/>
  <sheetViews>
    <sheetView showGridLines="0" zoomScaleNormal="100" workbookViewId="0"/>
  </sheetViews>
  <sheetFormatPr defaultRowHeight="18" customHeight="1" x14ac:dyDescent="0.35"/>
  <cols>
    <col min="1" max="1" width="2.6328125" customWidth="1"/>
    <col min="2" max="2" width="22" customWidth="1"/>
    <col min="3" max="3" width="20" customWidth="1"/>
    <col min="4" max="4" width="14.6328125" bestFit="1" customWidth="1"/>
    <col min="5" max="5" width="23.54296875" bestFit="1" customWidth="1"/>
    <col min="6" max="6" width="18.08984375" bestFit="1" customWidth="1"/>
    <col min="7" max="7" width="14.08984375" bestFit="1" customWidth="1"/>
    <col min="8" max="8" width="18.7265625" bestFit="1" customWidth="1"/>
    <col min="9" max="9" width="12" bestFit="1" customWidth="1"/>
    <col min="10" max="10" width="10.7265625" bestFit="1" customWidth="1"/>
    <col min="11" max="11" width="2" customWidth="1"/>
  </cols>
  <sheetData>
    <row r="1" spans="2:10" ht="14.5" x14ac:dyDescent="0.35"/>
    <row r="2" spans="2:10" ht="26" customHeight="1" x14ac:dyDescent="0.35">
      <c r="B2" s="152" t="s">
        <v>131</v>
      </c>
      <c r="C2" s="153"/>
      <c r="D2" s="153"/>
      <c r="E2" s="153"/>
      <c r="F2" s="153"/>
      <c r="G2" s="153"/>
      <c r="H2" s="153"/>
      <c r="I2" s="153"/>
      <c r="J2" s="153"/>
    </row>
    <row r="3" spans="2:10" ht="5" customHeight="1" x14ac:dyDescent="0.35">
      <c r="B3" s="14"/>
      <c r="C3" s="14"/>
      <c r="D3" s="14"/>
      <c r="E3" s="14"/>
      <c r="F3" s="14"/>
      <c r="G3" s="14"/>
      <c r="H3" s="14"/>
      <c r="I3" s="14"/>
      <c r="J3" s="14"/>
    </row>
    <row r="4" spans="2:10" ht="14.5" x14ac:dyDescent="0.35">
      <c r="B4" s="157" t="s">
        <v>185</v>
      </c>
    </row>
    <row r="5" spans="2:10" ht="14.5" x14ac:dyDescent="0.35">
      <c r="B5" s="156"/>
    </row>
    <row r="6" spans="2:10" ht="20" customHeight="1" x14ac:dyDescent="0.35">
      <c r="B6" s="55" t="s">
        <v>3</v>
      </c>
      <c r="C6" s="55" t="s">
        <v>5</v>
      </c>
      <c r="D6" s="55" t="s">
        <v>132</v>
      </c>
      <c r="E6" s="55" t="s">
        <v>133</v>
      </c>
      <c r="F6" s="55" t="s">
        <v>227</v>
      </c>
      <c r="G6" s="55" t="s">
        <v>249</v>
      </c>
      <c r="H6" s="55" t="s">
        <v>250</v>
      </c>
      <c r="I6" s="55" t="s">
        <v>112</v>
      </c>
      <c r="J6" s="55" t="s">
        <v>113</v>
      </c>
    </row>
    <row r="7" spans="2:10" ht="18" customHeight="1" x14ac:dyDescent="0.35">
      <c r="B7" s="57" t="s">
        <v>134</v>
      </c>
      <c r="C7" s="58" t="s">
        <v>135</v>
      </c>
      <c r="D7" s="59">
        <v>2018</v>
      </c>
      <c r="E7" s="58" t="s">
        <v>136</v>
      </c>
      <c r="F7" s="128">
        <v>9.9</v>
      </c>
      <c r="G7" s="128">
        <v>7.8</v>
      </c>
      <c r="H7" s="128">
        <v>0.82</v>
      </c>
      <c r="I7" s="135">
        <v>1.27</v>
      </c>
      <c r="J7" s="138">
        <v>12.1</v>
      </c>
    </row>
    <row r="8" spans="2:10" ht="18" customHeight="1" x14ac:dyDescent="0.35">
      <c r="B8" s="57" t="s">
        <v>137</v>
      </c>
      <c r="C8" s="58" t="s">
        <v>138</v>
      </c>
      <c r="D8" s="59">
        <v>2018</v>
      </c>
      <c r="E8" s="58" t="s">
        <v>139</v>
      </c>
      <c r="F8" s="128">
        <v>5.6</v>
      </c>
      <c r="G8" s="128">
        <v>6.1</v>
      </c>
      <c r="H8" s="128">
        <v>0.71</v>
      </c>
      <c r="I8" s="135">
        <v>0.92</v>
      </c>
      <c r="J8" s="138">
        <v>7.9</v>
      </c>
    </row>
    <row r="9" spans="2:10" ht="18" customHeight="1" x14ac:dyDescent="0.35">
      <c r="B9" s="57" t="s">
        <v>140</v>
      </c>
      <c r="C9" s="58" t="s">
        <v>135</v>
      </c>
      <c r="D9" s="59">
        <v>2018</v>
      </c>
      <c r="E9" s="58" t="s">
        <v>141</v>
      </c>
      <c r="F9" s="128">
        <v>1.4</v>
      </c>
      <c r="G9" s="128">
        <v>2.1</v>
      </c>
      <c r="H9" s="128">
        <v>0.18</v>
      </c>
      <c r="I9" s="135">
        <v>0.67</v>
      </c>
      <c r="J9" s="138">
        <v>7.8</v>
      </c>
    </row>
    <row r="10" spans="2:10" ht="18" customHeight="1" x14ac:dyDescent="0.35">
      <c r="B10" s="60" t="s">
        <v>178</v>
      </c>
      <c r="C10" s="60" t="s">
        <v>142</v>
      </c>
      <c r="D10" s="61">
        <v>2019</v>
      </c>
      <c r="E10" s="60" t="s">
        <v>143</v>
      </c>
      <c r="F10" s="133">
        <v>8.1999999999999993</v>
      </c>
      <c r="G10" s="133">
        <v>24.2</v>
      </c>
      <c r="H10" s="133">
        <v>0.61</v>
      </c>
      <c r="I10" s="134">
        <v>0.34</v>
      </c>
      <c r="J10" s="139">
        <v>13.4</v>
      </c>
    </row>
    <row r="11" spans="2:10" ht="18" customHeight="1" x14ac:dyDescent="0.35">
      <c r="B11" s="60" t="s">
        <v>179</v>
      </c>
      <c r="C11" s="60" t="s">
        <v>144</v>
      </c>
      <c r="D11" s="61">
        <v>2019</v>
      </c>
      <c r="E11" s="60" t="s">
        <v>136</v>
      </c>
      <c r="F11" s="133">
        <v>8.9</v>
      </c>
      <c r="G11" s="133">
        <v>11.4</v>
      </c>
      <c r="H11" s="133">
        <v>1.95</v>
      </c>
      <c r="I11" s="134">
        <v>0.78</v>
      </c>
      <c r="J11" s="139">
        <v>4.5999999999999996</v>
      </c>
    </row>
    <row r="12" spans="2:10" ht="18" customHeight="1" x14ac:dyDescent="0.35">
      <c r="B12" s="60" t="s">
        <v>180</v>
      </c>
      <c r="C12" s="60" t="s">
        <v>145</v>
      </c>
      <c r="D12" s="61">
        <v>2022</v>
      </c>
      <c r="E12" s="60" t="s">
        <v>146</v>
      </c>
      <c r="F12" s="133">
        <v>13</v>
      </c>
      <c r="G12" s="133">
        <v>3.3</v>
      </c>
      <c r="H12" s="133">
        <v>0.89</v>
      </c>
      <c r="I12" s="135">
        <v>3.94</v>
      </c>
      <c r="J12" s="138">
        <v>14.6</v>
      </c>
    </row>
    <row r="13" spans="2:10" ht="18" customHeight="1" x14ac:dyDescent="0.35">
      <c r="B13" s="57" t="s">
        <v>147</v>
      </c>
      <c r="C13" s="58" t="s">
        <v>148</v>
      </c>
      <c r="D13" s="59">
        <v>2022</v>
      </c>
      <c r="E13" s="58" t="s">
        <v>136</v>
      </c>
      <c r="F13" s="128">
        <v>2.2000000000000002</v>
      </c>
      <c r="G13" s="128">
        <v>7.9</v>
      </c>
      <c r="H13" s="128">
        <v>0.26</v>
      </c>
      <c r="I13" s="135">
        <v>0.28000000000000003</v>
      </c>
      <c r="J13" s="138">
        <v>8.5</v>
      </c>
    </row>
    <row r="14" spans="2:10" ht="18" customHeight="1" x14ac:dyDescent="0.35">
      <c r="B14" s="62" t="s">
        <v>254</v>
      </c>
      <c r="C14" s="63"/>
      <c r="D14" s="63"/>
      <c r="E14" s="63"/>
      <c r="F14" s="63"/>
      <c r="G14" s="63"/>
      <c r="H14" s="63"/>
      <c r="I14" s="63"/>
      <c r="J14" s="140">
        <v>7.8</v>
      </c>
    </row>
    <row r="15" spans="2:10" ht="18" customHeight="1" x14ac:dyDescent="0.35">
      <c r="B15" s="62" t="s">
        <v>255</v>
      </c>
      <c r="C15" s="63"/>
      <c r="D15" s="63"/>
      <c r="E15" s="63"/>
      <c r="F15" s="63"/>
      <c r="G15" s="63"/>
      <c r="H15" s="63"/>
      <c r="I15" s="63"/>
      <c r="J15" s="140">
        <v>7.9</v>
      </c>
    </row>
    <row r="16" spans="2:10" ht="18" customHeight="1" x14ac:dyDescent="0.35">
      <c r="B16" s="64" t="s">
        <v>256</v>
      </c>
      <c r="C16" s="65"/>
      <c r="D16" s="65"/>
      <c r="E16" s="65"/>
      <c r="F16" s="65"/>
      <c r="G16" s="65"/>
      <c r="H16" s="65"/>
      <c r="I16" s="65"/>
      <c r="J16" s="141">
        <v>8.1999999999999993</v>
      </c>
    </row>
    <row r="17" spans="2:10" ht="18" customHeight="1" x14ac:dyDescent="0.35">
      <c r="B17" s="64" t="s">
        <v>257</v>
      </c>
      <c r="C17" s="65"/>
      <c r="D17" s="65"/>
      <c r="E17" s="65"/>
      <c r="F17" s="65"/>
      <c r="G17" s="65"/>
      <c r="H17" s="65"/>
      <c r="I17" s="65"/>
      <c r="J17" s="141">
        <v>9</v>
      </c>
    </row>
    <row r="18" spans="2:10" ht="18" customHeight="1" x14ac:dyDescent="0.35">
      <c r="B18" s="62" t="s">
        <v>258</v>
      </c>
      <c r="C18" s="63"/>
      <c r="D18" s="63"/>
      <c r="E18" s="63"/>
      <c r="F18" s="63"/>
      <c r="G18" s="63"/>
      <c r="H18" s="63"/>
      <c r="I18" s="63"/>
      <c r="J18" s="140">
        <v>9.4</v>
      </c>
    </row>
    <row r="19" spans="2:10" ht="18" customHeight="1" x14ac:dyDescent="0.35">
      <c r="B19" s="62" t="s">
        <v>259</v>
      </c>
      <c r="C19" s="63"/>
      <c r="D19" s="63"/>
      <c r="E19" s="63"/>
      <c r="F19" s="63"/>
      <c r="G19" s="63"/>
      <c r="H19" s="63"/>
      <c r="I19" s="63"/>
      <c r="J19" s="140">
        <v>12.1</v>
      </c>
    </row>
    <row r="21" spans="2:10" ht="18" customHeight="1" x14ac:dyDescent="0.35">
      <c r="B21" s="43" t="s">
        <v>260</v>
      </c>
      <c r="C21" s="46"/>
      <c r="D21" s="46"/>
      <c r="E21" s="46"/>
      <c r="F21" s="46"/>
      <c r="G21" s="46"/>
      <c r="H21" s="46"/>
      <c r="I21" s="46"/>
      <c r="J21" s="46"/>
    </row>
    <row r="23" spans="2:10" ht="20" customHeight="1" x14ac:dyDescent="0.35">
      <c r="B23" s="41" t="s">
        <v>261</v>
      </c>
      <c r="C23" s="6"/>
      <c r="D23" s="6"/>
      <c r="E23" s="6"/>
      <c r="F23" s="6"/>
      <c r="G23" s="6"/>
      <c r="H23" s="6"/>
    </row>
    <row r="24" spans="2:10" ht="16" customHeight="1" x14ac:dyDescent="0.35">
      <c r="B24" s="45" t="s">
        <v>262</v>
      </c>
      <c r="C24" s="38"/>
      <c r="D24" s="38"/>
      <c r="E24" s="38"/>
      <c r="F24" s="38"/>
      <c r="G24" s="38"/>
      <c r="H24" s="10"/>
      <c r="I24" s="39"/>
    </row>
    <row r="25" spans="2:10" ht="20" customHeight="1" x14ac:dyDescent="0.35">
      <c r="B25" s="55" t="s">
        <v>128</v>
      </c>
      <c r="C25" s="55" t="s">
        <v>129</v>
      </c>
      <c r="D25" s="55" t="s">
        <v>251</v>
      </c>
      <c r="E25" s="55" t="s">
        <v>252</v>
      </c>
      <c r="F25" s="55" t="s">
        <v>230</v>
      </c>
      <c r="G25" s="55" t="s">
        <v>253</v>
      </c>
      <c r="H25" s="55" t="s">
        <v>130</v>
      </c>
      <c r="I25" s="37"/>
      <c r="J25" s="37"/>
    </row>
    <row r="26" spans="2:10" ht="18" customHeight="1" x14ac:dyDescent="0.35">
      <c r="B26" s="62" t="s">
        <v>263</v>
      </c>
      <c r="C26" s="118">
        <f>Assumptions!C54</f>
        <v>5.5</v>
      </c>
      <c r="D26" s="145">
        <f>C26*'WBA Financials'!F10</f>
        <v>21.45</v>
      </c>
      <c r="E26" s="145">
        <f>Assumptions!C47+Assumptions!C48</f>
        <v>10.4</v>
      </c>
      <c r="F26" s="73">
        <f>D26-E26</f>
        <v>11.049999999999999</v>
      </c>
      <c r="G26" s="146">
        <f>Assumptions!C46</f>
        <v>0.86199999999999999</v>
      </c>
      <c r="H26" s="74">
        <f>F26/G26</f>
        <v>12.819025522041763</v>
      </c>
    </row>
    <row r="27" spans="2:10" ht="18" customHeight="1" x14ac:dyDescent="0.35">
      <c r="B27" s="64" t="s">
        <v>264</v>
      </c>
      <c r="C27" s="119">
        <f>Assumptions!C55</f>
        <v>8</v>
      </c>
      <c r="D27" s="147">
        <f>C27*'WBA Financials'!F10</f>
        <v>31.2</v>
      </c>
      <c r="E27" s="147">
        <f>Assumptions!C47+Assumptions!C48</f>
        <v>10.4</v>
      </c>
      <c r="F27" s="75">
        <f>D27-E27</f>
        <v>20.799999999999997</v>
      </c>
      <c r="G27" s="148">
        <f>Assumptions!C46</f>
        <v>0.86199999999999999</v>
      </c>
      <c r="H27" s="76">
        <f>F27/G27</f>
        <v>24.12993039443155</v>
      </c>
    </row>
    <row r="28" spans="2:10" ht="18" customHeight="1" x14ac:dyDescent="0.35">
      <c r="B28" s="62" t="s">
        <v>265</v>
      </c>
      <c r="C28" s="118">
        <f>Assumptions!C56</f>
        <v>10.5</v>
      </c>
      <c r="D28" s="145">
        <f>C28*'WBA Financials'!F10</f>
        <v>40.949999999999996</v>
      </c>
      <c r="E28" s="145">
        <f>Assumptions!C47+Assumptions!C48</f>
        <v>10.4</v>
      </c>
      <c r="F28" s="73">
        <f>D28-E28</f>
        <v>30.549999999999997</v>
      </c>
      <c r="G28" s="146">
        <f>Assumptions!C46</f>
        <v>0.86199999999999999</v>
      </c>
      <c r="H28" s="74">
        <f>F28/G28</f>
        <v>35.440835266821345</v>
      </c>
    </row>
    <row r="30" spans="2:10" ht="18" customHeight="1" x14ac:dyDescent="0.35">
      <c r="B30" s="43" t="s">
        <v>266</v>
      </c>
      <c r="C30" s="8"/>
      <c r="D30" s="8"/>
      <c r="E30" s="8"/>
      <c r="F30" s="8"/>
      <c r="G30" s="8"/>
      <c r="H30" s="8"/>
      <c r="I30" s="8"/>
      <c r="J30" s="8"/>
    </row>
    <row r="32" spans="2:10" ht="18" customHeight="1" x14ac:dyDescent="0.35">
      <c r="B32" s="43" t="s">
        <v>267</v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54"/>
  <sheetViews>
    <sheetView showGridLines="0" topLeftCell="A42" zoomScaleNormal="100" workbookViewId="0"/>
  </sheetViews>
  <sheetFormatPr defaultRowHeight="18" customHeight="1" x14ac:dyDescent="0.35"/>
  <cols>
    <col min="1" max="1" width="2.6328125" customWidth="1"/>
    <col min="2" max="2" width="35.453125" customWidth="1"/>
    <col min="3" max="5" width="16.36328125" customWidth="1"/>
  </cols>
  <sheetData>
    <row r="1" spans="2:5" ht="14.5" x14ac:dyDescent="0.35"/>
    <row r="2" spans="2:5" ht="26" customHeight="1" x14ac:dyDescent="0.35">
      <c r="B2" s="13" t="s">
        <v>268</v>
      </c>
      <c r="C2" s="13"/>
      <c r="D2" s="13"/>
      <c r="E2" s="13"/>
    </row>
    <row r="3" spans="2:5" ht="6" customHeight="1" x14ac:dyDescent="0.35">
      <c r="B3" s="54"/>
      <c r="C3" s="54"/>
      <c r="D3" s="54"/>
      <c r="E3" s="54"/>
    </row>
    <row r="4" spans="2:5" ht="14.5" x14ac:dyDescent="0.35"/>
    <row r="5" spans="2:5" ht="18" customHeight="1" x14ac:dyDescent="0.35">
      <c r="B5" s="55" t="s">
        <v>149</v>
      </c>
      <c r="C5" s="55" t="s">
        <v>150</v>
      </c>
      <c r="D5" s="55" t="s">
        <v>182</v>
      </c>
      <c r="E5" s="55" t="s">
        <v>151</v>
      </c>
    </row>
    <row r="6" spans="2:5" ht="20" customHeight="1" x14ac:dyDescent="0.35">
      <c r="B6" s="48" t="s">
        <v>158</v>
      </c>
      <c r="C6" s="120">
        <f>'DCF Model'!C66</f>
        <v>8.8394790172858606</v>
      </c>
      <c r="D6" s="120">
        <f>'DCF Model'!E61</f>
        <v>17.937283406541354</v>
      </c>
      <c r="E6" s="120">
        <f>'DCF Model'!G62</f>
        <v>20.97101529733969</v>
      </c>
    </row>
    <row r="7" spans="2:5" ht="20" customHeight="1" x14ac:dyDescent="0.35">
      <c r="B7" s="49" t="s">
        <v>159</v>
      </c>
      <c r="C7" s="121">
        <f>'DCF Model'!C77</f>
        <v>7.9774447361844425</v>
      </c>
      <c r="D7" s="120">
        <f>'DCF Model'!E72</f>
        <v>27.616770404475162</v>
      </c>
      <c r="E7" s="121">
        <f>'DCF Model'!G73</f>
        <v>25.292728019847157</v>
      </c>
    </row>
    <row r="8" spans="2:5" ht="20" customHeight="1" x14ac:dyDescent="0.35">
      <c r="B8" s="48" t="s">
        <v>152</v>
      </c>
      <c r="C8" s="120">
        <f>Comps!H24</f>
        <v>10.556844547563804</v>
      </c>
      <c r="D8" s="120">
        <f>Comps!H25</f>
        <v>17.343387470997676</v>
      </c>
      <c r="E8" s="120">
        <f>Comps!H26</f>
        <v>26.392111368909514</v>
      </c>
    </row>
    <row r="9" spans="2:5" ht="20" customHeight="1" x14ac:dyDescent="0.35">
      <c r="B9" s="49" t="s">
        <v>153</v>
      </c>
      <c r="C9" s="121">
        <f>Precedents!H26</f>
        <v>12.819025522041763</v>
      </c>
      <c r="D9" s="121">
        <f>Precedents!H27</f>
        <v>24.12993039443155</v>
      </c>
      <c r="E9" s="121">
        <f>Precedents!H28</f>
        <v>35.440835266821345</v>
      </c>
    </row>
    <row r="10" spans="2:5" ht="20" customHeight="1" x14ac:dyDescent="0.35">
      <c r="B10" s="48" t="s">
        <v>154</v>
      </c>
      <c r="C10" s="122">
        <v>11.45</v>
      </c>
      <c r="D10" s="122">
        <v>11.45</v>
      </c>
      <c r="E10" s="122">
        <v>11.45</v>
      </c>
    </row>
    <row r="11" spans="2:5" ht="20" customHeight="1" x14ac:dyDescent="0.35">
      <c r="B11" s="49" t="s">
        <v>269</v>
      </c>
      <c r="C11" s="123">
        <v>14.45</v>
      </c>
      <c r="D11" s="123">
        <v>14.45</v>
      </c>
      <c r="E11" s="123">
        <v>14.45</v>
      </c>
    </row>
    <row r="12" spans="2:5" ht="10" customHeight="1" x14ac:dyDescent="0.35">
      <c r="B12" s="50"/>
      <c r="C12" s="50"/>
      <c r="D12" s="50"/>
      <c r="E12" s="50"/>
    </row>
    <row r="13" spans="2:5" ht="20" customHeight="1" x14ac:dyDescent="0.35">
      <c r="B13" s="41" t="s">
        <v>270</v>
      </c>
      <c r="C13" s="41"/>
      <c r="D13" s="41"/>
      <c r="E13" s="41"/>
    </row>
    <row r="14" spans="2:5" ht="18" customHeight="1" x14ac:dyDescent="0.35">
      <c r="B14" s="55" t="s">
        <v>155</v>
      </c>
      <c r="C14" s="55" t="s">
        <v>156</v>
      </c>
      <c r="D14" s="55" t="s">
        <v>157</v>
      </c>
      <c r="E14" s="55" t="s">
        <v>183</v>
      </c>
    </row>
    <row r="15" spans="2:5" ht="18" customHeight="1" x14ac:dyDescent="0.35">
      <c r="B15" s="48" t="s">
        <v>158</v>
      </c>
      <c r="C15" s="124">
        <f t="shared" ref="C15:C20" si="0">C6</f>
        <v>8.8394790172858606</v>
      </c>
      <c r="D15" s="124">
        <f>E6-C6</f>
        <v>12.13153628005383</v>
      </c>
      <c r="E15" s="124">
        <f>D6</f>
        <v>17.937283406541354</v>
      </c>
    </row>
    <row r="16" spans="2:5" ht="18" customHeight="1" x14ac:dyDescent="0.35">
      <c r="B16" s="49" t="s">
        <v>159</v>
      </c>
      <c r="C16" s="125">
        <f t="shared" si="0"/>
        <v>7.9774447361844425</v>
      </c>
      <c r="D16" s="125">
        <f>E7-C7</f>
        <v>17.315283283662716</v>
      </c>
      <c r="E16" s="125">
        <f>D7</f>
        <v>27.616770404475162</v>
      </c>
    </row>
    <row r="17" spans="2:5" ht="18" customHeight="1" x14ac:dyDescent="0.35">
      <c r="B17" s="48" t="s">
        <v>152</v>
      </c>
      <c r="C17" s="124">
        <f t="shared" si="0"/>
        <v>10.556844547563804</v>
      </c>
      <c r="D17" s="124">
        <f>E8-C8</f>
        <v>15.83526682134571</v>
      </c>
      <c r="E17" s="124">
        <f>D8</f>
        <v>17.343387470997676</v>
      </c>
    </row>
    <row r="18" spans="2:5" ht="18" customHeight="1" x14ac:dyDescent="0.35">
      <c r="B18" s="49" t="s">
        <v>153</v>
      </c>
      <c r="C18" s="125">
        <f t="shared" si="0"/>
        <v>12.819025522041763</v>
      </c>
      <c r="D18" s="125">
        <f>E9-C9</f>
        <v>22.621809744779583</v>
      </c>
      <c r="E18" s="125">
        <f>D9</f>
        <v>24.12993039443155</v>
      </c>
    </row>
    <row r="19" spans="2:5" ht="18" customHeight="1" x14ac:dyDescent="0.35">
      <c r="B19" s="48" t="s">
        <v>271</v>
      </c>
      <c r="C19" s="124">
        <f t="shared" si="0"/>
        <v>11.45</v>
      </c>
      <c r="D19" s="124">
        <f>0</f>
        <v>0</v>
      </c>
      <c r="E19" s="124">
        <f>C10</f>
        <v>11.45</v>
      </c>
    </row>
    <row r="20" spans="2:5" ht="18" customHeight="1" x14ac:dyDescent="0.35">
      <c r="B20" s="49" t="s">
        <v>272</v>
      </c>
      <c r="C20" s="125">
        <f t="shared" si="0"/>
        <v>14.45</v>
      </c>
      <c r="D20" s="125">
        <f>0</f>
        <v>0</v>
      </c>
      <c r="E20" s="125">
        <f>C11</f>
        <v>14.45</v>
      </c>
    </row>
    <row r="21" spans="2:5" ht="15" customHeight="1" x14ac:dyDescent="0.35"/>
    <row r="22" spans="2:5" ht="15" customHeight="1" x14ac:dyDescent="0.35"/>
    <row r="23" spans="2:5" ht="15" customHeight="1" x14ac:dyDescent="0.35"/>
    <row r="24" spans="2:5" ht="15" customHeight="1" x14ac:dyDescent="0.35"/>
    <row r="25" spans="2:5" ht="15" customHeight="1" x14ac:dyDescent="0.35"/>
    <row r="26" spans="2:5" ht="15" customHeight="1" x14ac:dyDescent="0.35"/>
    <row r="27" spans="2:5" ht="15" customHeight="1" x14ac:dyDescent="0.35"/>
    <row r="28" spans="2:5" ht="15" customHeight="1" x14ac:dyDescent="0.35"/>
    <row r="29" spans="2:5" ht="15" customHeight="1" x14ac:dyDescent="0.35"/>
    <row r="30" spans="2:5" ht="15" customHeight="1" x14ac:dyDescent="0.35"/>
    <row r="31" spans="2:5" ht="15" customHeight="1" x14ac:dyDescent="0.35"/>
    <row r="32" spans="2:5" ht="15" customHeight="1" x14ac:dyDescent="0.35"/>
    <row r="33" spans="2:10" ht="15" customHeight="1" x14ac:dyDescent="0.35"/>
    <row r="34" spans="2:10" ht="15" customHeight="1" x14ac:dyDescent="0.35"/>
    <row r="35" spans="2:10" ht="15" customHeight="1" x14ac:dyDescent="0.35"/>
    <row r="36" spans="2:10" ht="15" customHeight="1" x14ac:dyDescent="0.35"/>
    <row r="37" spans="2:10" ht="15" customHeight="1" x14ac:dyDescent="0.35"/>
    <row r="38" spans="2:10" ht="15" customHeight="1" x14ac:dyDescent="0.35"/>
    <row r="39" spans="2:10" ht="15" customHeight="1" x14ac:dyDescent="0.35"/>
    <row r="40" spans="2:10" ht="15" customHeight="1" x14ac:dyDescent="0.35"/>
    <row r="41" spans="2:10" ht="15" customHeight="1" x14ac:dyDescent="0.35"/>
    <row r="42" spans="2:10" ht="15" customHeight="1" x14ac:dyDescent="0.35"/>
    <row r="43" spans="2:10" ht="15" customHeight="1" x14ac:dyDescent="0.35"/>
    <row r="44" spans="2:10" ht="15" customHeight="1" x14ac:dyDescent="0.35"/>
    <row r="45" spans="2:10" ht="15" customHeight="1" x14ac:dyDescent="0.35"/>
    <row r="46" spans="2:10" ht="15" customHeight="1" x14ac:dyDescent="0.35"/>
    <row r="47" spans="2:10" ht="15" customHeight="1" thickBot="1" x14ac:dyDescent="0.4"/>
    <row r="48" spans="2:10" ht="22" customHeight="1" x14ac:dyDescent="0.35">
      <c r="B48" s="56" t="s">
        <v>160</v>
      </c>
      <c r="C48" s="53"/>
      <c r="D48" s="53"/>
      <c r="E48" s="53"/>
      <c r="F48" s="53"/>
      <c r="G48" s="53"/>
      <c r="H48" s="53"/>
      <c r="I48" s="53"/>
      <c r="J48" s="53"/>
    </row>
    <row r="49" spans="2:10" ht="30" customHeight="1" x14ac:dyDescent="0.35">
      <c r="B49" s="154" t="s">
        <v>273</v>
      </c>
      <c r="C49" s="154"/>
      <c r="D49" s="154"/>
      <c r="E49" s="154"/>
      <c r="F49" s="154"/>
      <c r="G49" s="154"/>
      <c r="H49" s="154"/>
      <c r="I49" s="154"/>
      <c r="J49" s="154"/>
    </row>
    <row r="50" spans="2:10" ht="30" customHeight="1" x14ac:dyDescent="0.35">
      <c r="B50" s="154" t="s">
        <v>274</v>
      </c>
      <c r="C50" s="154"/>
      <c r="D50" s="154"/>
      <c r="E50" s="154"/>
      <c r="F50" s="154"/>
      <c r="G50" s="154"/>
      <c r="H50" s="154"/>
      <c r="I50" s="154"/>
      <c r="J50" s="154"/>
    </row>
    <row r="51" spans="2:10" ht="30" customHeight="1" x14ac:dyDescent="0.35">
      <c r="B51" s="154" t="s">
        <v>275</v>
      </c>
      <c r="C51" s="154"/>
      <c r="D51" s="154"/>
      <c r="E51" s="154"/>
      <c r="F51" s="154"/>
      <c r="G51" s="154"/>
      <c r="H51" s="154"/>
      <c r="I51" s="154"/>
      <c r="J51" s="154"/>
    </row>
    <row r="52" spans="2:10" ht="30" customHeight="1" x14ac:dyDescent="0.35">
      <c r="B52" s="154" t="s">
        <v>276</v>
      </c>
      <c r="C52" s="154"/>
      <c r="D52" s="154"/>
      <c r="E52" s="154"/>
      <c r="F52" s="154"/>
      <c r="G52" s="154"/>
      <c r="H52" s="154"/>
      <c r="I52" s="154"/>
      <c r="J52" s="154"/>
    </row>
    <row r="54" spans="2:10" ht="18" customHeight="1" x14ac:dyDescent="0.35">
      <c r="B54" s="51" t="s">
        <v>161</v>
      </c>
      <c r="C54" s="52"/>
      <c r="D54" s="52"/>
      <c r="E54" s="52"/>
    </row>
  </sheetData>
  <mergeCells count="4">
    <mergeCell ref="B49:J49"/>
    <mergeCell ref="B50:J50"/>
    <mergeCell ref="B51:J51"/>
    <mergeCell ref="B52:J5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19"/>
  <sheetViews>
    <sheetView showGridLines="0" tabSelected="1" zoomScaleNormal="100" workbookViewId="0"/>
  </sheetViews>
  <sheetFormatPr defaultRowHeight="14.5" x14ac:dyDescent="0.35"/>
  <cols>
    <col min="1" max="1" width="2.6328125" customWidth="1"/>
    <col min="2" max="2" width="28" customWidth="1"/>
    <col min="3" max="3" width="22.90625" bestFit="1" customWidth="1"/>
    <col min="4" max="4" width="2.6328125" customWidth="1"/>
    <col min="5" max="5" width="20.6328125" customWidth="1"/>
    <col min="6" max="6" width="22.90625" bestFit="1" customWidth="1"/>
  </cols>
  <sheetData>
    <row r="2" spans="2:14" ht="26" customHeight="1" x14ac:dyDescent="0.35">
      <c r="B2" s="13" t="s">
        <v>277</v>
      </c>
      <c r="C2" s="13"/>
      <c r="D2" s="13"/>
      <c r="E2" s="13"/>
      <c r="F2" s="13"/>
    </row>
    <row r="3" spans="2:14" ht="4" customHeight="1" x14ac:dyDescent="0.35">
      <c r="B3" s="14"/>
      <c r="C3" s="14"/>
      <c r="D3" s="14"/>
      <c r="E3" s="14"/>
      <c r="F3" s="14"/>
    </row>
    <row r="5" spans="2:14" ht="20" customHeight="1" x14ac:dyDescent="0.35">
      <c r="B5" s="55" t="s">
        <v>149</v>
      </c>
      <c r="C5" s="55" t="s">
        <v>162</v>
      </c>
      <c r="D5" s="72" t="s">
        <v>281</v>
      </c>
      <c r="E5" s="72"/>
      <c r="F5" s="72" t="s">
        <v>163</v>
      </c>
    </row>
    <row r="6" spans="2:14" ht="18" customHeight="1" x14ac:dyDescent="0.35">
      <c r="B6" s="100" t="s">
        <v>158</v>
      </c>
      <c r="C6" s="77" t="str">
        <f>"$"&amp;TEXT('Football Field'!C6,"0.00")&amp;" – $"&amp;TEXT('Football Field'!E6,"0.00")</f>
        <v>$8.84 – $20.97</v>
      </c>
      <c r="D6" s="126">
        <f>'Football Field'!C10</f>
        <v>11.45</v>
      </c>
      <c r="E6" s="78"/>
      <c r="F6" s="127" t="s">
        <v>164</v>
      </c>
      <c r="H6" s="47"/>
    </row>
    <row r="7" spans="2:14" ht="18" customHeight="1" x14ac:dyDescent="0.35">
      <c r="B7" s="100" t="s">
        <v>159</v>
      </c>
      <c r="C7" s="77" t="str">
        <f>"$"&amp;TEXT('Football Field'!C7,"0.00")&amp;" – $"&amp;TEXT('Football Field'!E7,"0.00")</f>
        <v>$7.98 – $25.29</v>
      </c>
      <c r="D7" s="126">
        <f>'Football Field'!C10</f>
        <v>11.45</v>
      </c>
      <c r="E7" s="78"/>
      <c r="F7" s="127" t="s">
        <v>164</v>
      </c>
    </row>
    <row r="8" spans="2:14" ht="18" customHeight="1" x14ac:dyDescent="0.35">
      <c r="B8" s="100" t="s">
        <v>152</v>
      </c>
      <c r="C8" s="77" t="str">
        <f>"$"&amp;TEXT('Football Field'!C8,"0.00")&amp;" – $"&amp;TEXT('Football Field'!E8,"0.00")</f>
        <v>$10.56 – $26.39</v>
      </c>
      <c r="D8" s="126">
        <f>'Football Field'!C10</f>
        <v>11.45</v>
      </c>
      <c r="E8" s="78"/>
      <c r="F8" s="127" t="s">
        <v>164</v>
      </c>
    </row>
    <row r="9" spans="2:14" ht="18" customHeight="1" x14ac:dyDescent="0.35">
      <c r="B9" s="100" t="s">
        <v>153</v>
      </c>
      <c r="C9" s="77" t="str">
        <f>"$"&amp;TEXT('Football Field'!C9,"0.00")&amp;" – $"&amp;TEXT('Football Field'!E9,"0.00")</f>
        <v>$12.82 – $35.44</v>
      </c>
      <c r="D9" s="126">
        <f>'Football Field'!C10</f>
        <v>11.45</v>
      </c>
      <c r="E9" s="78"/>
      <c r="F9" s="127" t="s">
        <v>165</v>
      </c>
    </row>
    <row r="11" spans="2:14" ht="20" customHeight="1" x14ac:dyDescent="0.35">
      <c r="B11" s="41" t="s">
        <v>166</v>
      </c>
      <c r="C11" s="6"/>
      <c r="D11" s="158"/>
      <c r="E11" s="158"/>
      <c r="F11" s="158"/>
      <c r="G11" s="159"/>
      <c r="H11" s="159"/>
      <c r="I11" s="159"/>
    </row>
    <row r="12" spans="2:14" ht="18" customHeight="1" x14ac:dyDescent="0.35">
      <c r="B12" s="58" t="s">
        <v>11</v>
      </c>
      <c r="C12" s="99" t="s">
        <v>167</v>
      </c>
      <c r="D12" s="47"/>
      <c r="E12" s="160"/>
      <c r="F12" s="160"/>
      <c r="G12" s="159"/>
      <c r="H12" s="159"/>
      <c r="I12" s="161"/>
      <c r="L12" s="40"/>
      <c r="M12" s="40"/>
      <c r="N12" s="40"/>
    </row>
    <row r="13" spans="2:14" ht="18" customHeight="1" x14ac:dyDescent="0.35">
      <c r="B13" s="58" t="s">
        <v>278</v>
      </c>
      <c r="C13" s="99" t="s">
        <v>168</v>
      </c>
      <c r="D13" s="47"/>
      <c r="E13" s="160"/>
      <c r="F13" s="160"/>
      <c r="G13" s="160"/>
      <c r="H13" s="160"/>
      <c r="I13" s="162"/>
      <c r="J13" s="40"/>
      <c r="M13" s="40"/>
    </row>
    <row r="14" spans="2:14" ht="18" customHeight="1" x14ac:dyDescent="0.35">
      <c r="B14" s="58" t="s">
        <v>13</v>
      </c>
      <c r="C14" s="99" t="s">
        <v>169</v>
      </c>
      <c r="D14" s="47"/>
      <c r="E14" s="160"/>
      <c r="F14" s="160"/>
      <c r="G14" s="159"/>
      <c r="H14" s="159"/>
      <c r="I14" s="163"/>
      <c r="J14" s="40"/>
      <c r="M14" s="40"/>
    </row>
    <row r="15" spans="2:14" ht="18" customHeight="1" x14ac:dyDescent="0.35">
      <c r="B15" s="58" t="s">
        <v>170</v>
      </c>
      <c r="C15" s="99" t="s">
        <v>171</v>
      </c>
      <c r="D15" s="47"/>
      <c r="E15" s="160"/>
      <c r="F15" s="160"/>
      <c r="G15" s="160"/>
      <c r="H15" s="159"/>
      <c r="I15" s="162"/>
      <c r="J15" s="40"/>
      <c r="M15" s="40"/>
    </row>
    <row r="16" spans="2:14" ht="18" customHeight="1" x14ac:dyDescent="0.35">
      <c r="B16" s="58" t="s">
        <v>279</v>
      </c>
      <c r="C16" s="99" t="s">
        <v>172</v>
      </c>
      <c r="D16" s="47"/>
      <c r="E16" s="160"/>
      <c r="F16" s="160"/>
      <c r="G16" s="160"/>
      <c r="H16" s="160"/>
      <c r="I16" s="160"/>
      <c r="J16" s="40"/>
      <c r="M16" s="40"/>
    </row>
    <row r="17" spans="2:13" ht="18" customHeight="1" x14ac:dyDescent="0.35">
      <c r="B17" s="58" t="s">
        <v>22</v>
      </c>
      <c r="C17" s="99" t="s">
        <v>173</v>
      </c>
      <c r="D17" s="47"/>
      <c r="E17" s="160"/>
      <c r="F17" s="160"/>
      <c r="G17" s="160"/>
      <c r="H17" s="160"/>
      <c r="I17" s="160"/>
      <c r="J17" s="40"/>
      <c r="M17" s="40"/>
    </row>
    <row r="19" spans="2:13" x14ac:dyDescent="0.35">
      <c r="B19" s="8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WBA Financials</vt:lpstr>
      <vt:lpstr>DCF Model</vt:lpstr>
      <vt:lpstr>Comps</vt:lpstr>
      <vt:lpstr>Precedents</vt:lpstr>
      <vt:lpstr>Football Field</vt:lpstr>
      <vt:lpstr>Deal vs.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Manning</cp:lastModifiedBy>
  <dcterms:created xsi:type="dcterms:W3CDTF">2026-04-05T23:11:31Z</dcterms:created>
  <dcterms:modified xsi:type="dcterms:W3CDTF">2026-04-07T17:10:50Z</dcterms:modified>
</cp:coreProperties>
</file>